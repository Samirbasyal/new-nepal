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und Record" sheetId="1" state="visible" r:id="rId1"/>
    <sheet name="Donation Record" sheetId="2" state="visible" r:id="rId2"/>
    <sheet name="Monthly Fund Summary" sheetId="3" state="visible" r:id="rId3"/>
    <sheet name="Donation Summary" sheetId="4" state="visible" r:id="rId4"/>
  </sheets>
  <definedNames>
    <definedName name="_xlnm._FilterDatabase" localSheetId="0" hidden="1">'Monthly Fund Record'!$A$5:$N$45</definedName>
    <definedName name="_xlnm.Print_Titles" localSheetId="0">'Monthly Fund Record'!$5:$5</definedName>
    <definedName name="_xlnm._FilterDatabase" localSheetId="1" hidden="1">'Donation Record'!$A$4:$L$64</definedName>
    <definedName name="_xlnm.Print_Titles" localSheetId="1">'Donation Record'!$4:$4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0E5B45"/>
      <sz val="16"/>
    </font>
    <font>
      <name val="Calibri"/>
      <i val="1"/>
      <color rgb="005A6B64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E5B45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6D8"/>
      </patternFill>
    </fill>
    <fill>
      <patternFill patternType="solid">
        <fgColor rgb="00157A5B"/>
      </patternFill>
    </fill>
    <fill>
      <patternFill patternType="solid">
        <fgColor rgb="00E7F3EE"/>
      </patternFill>
    </fill>
  </fills>
  <borders count="2">
    <border>
      <left/>
      <right/>
      <top/>
      <bottom/>
      <diagonal/>
    </border>
    <border>
      <left style="thin">
        <color rgb="00BFCFC8"/>
      </left>
      <right style="thin">
        <color rgb="00BFCFC8"/>
      </right>
      <top style="thin">
        <color rgb="00BFCFC8"/>
      </top>
      <bottom style="thin">
        <color rgb="00BFCF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pivotButton="0" quotePrefix="0" xfId="0"/>
    <xf numFmtId="1" fontId="3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EF3C7"/>
        </patternFill>
      </fill>
    </dxf>
    <dxf>
      <fill>
        <patternFill patternType="solid">
          <fgColor rgb="00E7F3EE"/>
        </patternFill>
      </fill>
    </dxf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onationRecords" displayName="DonationRecords" ref="A4:L64" headerRowCount="1">
  <autoFilter ref="A4:L64"/>
  <tableColumns count="12">
    <tableColumn id="1" name="S.N."/>
    <tableColumn id="2" name="Nepali Date"/>
    <tableColumn id="3" name="English Date"/>
    <tableColumn id="4" name="Donor Name"/>
    <tableColumn id="5" name="Phone Number"/>
    <tableColumn id="6" name="Email Address"/>
    <tableColumn id="7" name="Donation Purpose"/>
    <tableColumn id="8" name="Payment Method"/>
    <tableColumn id="9" name="Amount (NPR)"/>
    <tableColumn id="10" name="Payment Status"/>
    <tableColumn id="11" name="Received By"/>
    <tableColumn id="12" name="Remark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</cols>
  <sheetData>
    <row r="1">
      <c r="A1" s="1" t="inlineStr">
        <is>
          <t>Janakalyan Samata Yuwa Club</t>
        </is>
      </c>
    </row>
    <row r="2">
      <c r="A2" s="2" t="inlineStr">
        <is>
          <t>Monthly Membership Fund Record - one row per member, one column per month</t>
        </is>
      </c>
    </row>
    <row r="3">
      <c r="A3" s="3" t="inlineStr">
        <is>
          <t>Fiscal year</t>
        </is>
      </c>
      <c r="C3" s="4" t="inlineStr">
        <is>
          <t>2080/2081</t>
        </is>
      </c>
      <c r="D3" s="3" t="inlineStr">
        <is>
          <t>Default monthly fund (NPR)</t>
        </is>
      </c>
      <c r="E3" s="5" t="n">
        <v>20</v>
      </c>
      <c r="F3" s="2" t="inlineStr">
        <is>
          <t>Type the amount each member actually paid. Leave a cell blank or 0 when nothing was paid.</t>
        </is>
      </c>
    </row>
    <row r="5" ht="30" customHeight="1">
      <c r="A5" s="6" t="inlineStr">
        <is>
          <t>Member Name</t>
        </is>
      </c>
      <c r="B5" s="6" t="inlineStr">
        <is>
          <t>Baisakh</t>
        </is>
      </c>
      <c r="C5" s="6" t="inlineStr">
        <is>
          <t>Jestha</t>
        </is>
      </c>
      <c r="D5" s="6" t="inlineStr">
        <is>
          <t>Ashadh</t>
        </is>
      </c>
      <c r="E5" s="6" t="inlineStr">
        <is>
          <t>Shrawan</t>
        </is>
      </c>
      <c r="F5" s="6" t="inlineStr">
        <is>
          <t>Bhadra</t>
        </is>
      </c>
      <c r="G5" s="6" t="inlineStr">
        <is>
          <t>Ashwin</t>
        </is>
      </c>
      <c r="H5" s="6" t="inlineStr">
        <is>
          <t>Kartik</t>
        </is>
      </c>
      <c r="I5" s="6" t="inlineStr">
        <is>
          <t>Mangsir</t>
        </is>
      </c>
      <c r="J5" s="6" t="inlineStr">
        <is>
          <t>Poush</t>
        </is>
      </c>
      <c r="K5" s="6" t="inlineStr">
        <is>
          <t>Magh</t>
        </is>
      </c>
      <c r="L5" s="6" t="inlineStr">
        <is>
          <t>Falgun</t>
        </is>
      </c>
      <c r="M5" s="6" t="inlineStr">
        <is>
          <t>Chaitra</t>
        </is>
      </c>
      <c r="N5" s="6" t="inlineStr">
        <is>
          <t>TOTAL</t>
        </is>
      </c>
    </row>
    <row r="6">
      <c r="A6" s="7" t="inlineStr">
        <is>
          <t>Example - replace this name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>
        <f>IF(COUNT(B6:M6)=0,"",SUM(B6:M6))</f>
        <v/>
      </c>
    </row>
    <row r="7">
      <c r="A7" s="7" t="inlineStr">
        <is>
          <t>Example - replace this name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>
        <f>IF(COUNT(B7:M7)=0,"",SUM(B7:M7))</f>
        <v/>
      </c>
    </row>
    <row r="8">
      <c r="A8" s="7" t="inlineStr">
        <is>
          <t>Example - replace this name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>
        <f>IF(COUNT(B8:M8)=0,"",SUM(B8:M8))</f>
        <v/>
      </c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IF(COUNT(B9:M9)=0,"",SUM(B9:M9))</f>
        <v/>
      </c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9">
        <f>IF(COUNT(B10:M10)=0,"",SUM(B10:M10))</f>
        <v/>
      </c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9">
        <f>IF(COUNT(B11:M11)=0,"",SUM(B11:M11))</f>
        <v/>
      </c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9">
        <f>IF(COUNT(B12:M12)=0,"",SUM(B12:M12))</f>
        <v/>
      </c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9">
        <f>IF(COUNT(B13:M13)=0,"",SUM(B13:M13))</f>
        <v/>
      </c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9">
        <f>IF(COUNT(B14:M14)=0,"",SUM(B14:M14))</f>
        <v/>
      </c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9">
        <f>IF(COUNT(B15:M15)=0,"",SUM(B15:M15))</f>
        <v/>
      </c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9">
        <f>IF(COUNT(B16:M16)=0,"",SUM(B16:M16))</f>
        <v/>
      </c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9">
        <f>IF(COUNT(B17:M17)=0,"",SUM(B17:M17))</f>
        <v/>
      </c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9">
        <f>IF(COUNT(B18:M18)=0,"",SUM(B18:M18))</f>
        <v/>
      </c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9">
        <f>IF(COUNT(B19:M19)=0,"",SUM(B19:M19))</f>
        <v/>
      </c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9">
        <f>IF(COUNT(B20:M20)=0,"",SUM(B20:M20))</f>
        <v/>
      </c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9">
        <f>IF(COUNT(B21:M21)=0,"",SUM(B21:M21))</f>
        <v/>
      </c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9">
        <f>IF(COUNT(B22:M22)=0,"",SUM(B22:M22))</f>
        <v/>
      </c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9">
        <f>IF(COUNT(B23:M23)=0,"",SUM(B23:M23))</f>
        <v/>
      </c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9">
        <f>IF(COUNT(B24:M24)=0,"",SUM(B24:M24))</f>
        <v/>
      </c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>
        <f>IF(COUNT(B25:M25)=0,"",SUM(B25:M25))</f>
        <v/>
      </c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9">
        <f>IF(COUNT(B26:M26)=0,"",SUM(B26:M26))</f>
        <v/>
      </c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9">
        <f>IF(COUNT(B27:M27)=0,"",SUM(B27:M27))</f>
        <v/>
      </c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9">
        <f>IF(COUNT(B28:M28)=0,"",SUM(B28:M28))</f>
        <v/>
      </c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9">
        <f>IF(COUNT(B29:M29)=0,"",SUM(B29:M29))</f>
        <v/>
      </c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9">
        <f>IF(COUNT(B30:M30)=0,"",SUM(B30:M30))</f>
        <v/>
      </c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9">
        <f>IF(COUNT(B31:M31)=0,"",SUM(B31:M31))</f>
        <v/>
      </c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9">
        <f>IF(COUNT(B32:M32)=0,"",SUM(B32:M32))</f>
        <v/>
      </c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9">
        <f>IF(COUNT(B33:M33)=0,"",SUM(B33:M33))</f>
        <v/>
      </c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>
        <f>IF(COUNT(B34:M34)=0,"",SUM(B34:M34))</f>
        <v/>
      </c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>
        <f>IF(COUNT(B35:M35)=0,"",SUM(B35:M35))</f>
        <v/>
      </c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>
        <f>IF(COUNT(B36:M36)=0,"",SUM(B36:M36))</f>
        <v/>
      </c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9">
        <f>IF(COUNT(B37:M37)=0,"",SUM(B37:M37))</f>
        <v/>
      </c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9">
        <f>IF(COUNT(B38:M38)=0,"",SUM(B38:M38))</f>
        <v/>
      </c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9">
        <f>IF(COUNT(B39:M39)=0,"",SUM(B39:M39))</f>
        <v/>
      </c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9">
        <f>IF(COUNT(B40:M40)=0,"",SUM(B40:M40))</f>
        <v/>
      </c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9">
        <f>IF(COUNT(B41:M41)=0,"",SUM(B41:M41))</f>
        <v/>
      </c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9">
        <f>IF(COUNT(B42:M42)=0,"",SUM(B42:M42))</f>
        <v/>
      </c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>
        <f>IF(COUNT(B43:M43)=0,"",SUM(B43:M43))</f>
        <v/>
      </c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9">
        <f>IF(COUNT(B44:M44)=0,"",SUM(B44:M44))</f>
        <v/>
      </c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9">
        <f>IF(COUNT(B45:M45)=0,"",SUM(B45:M45))</f>
        <v/>
      </c>
    </row>
    <row r="46">
      <c r="A46" s="10" t="inlineStr">
        <is>
          <t>TOTAL COLLECTED</t>
        </is>
      </c>
      <c r="B46" s="11">
        <f>SUM(B6:B45)</f>
        <v/>
      </c>
      <c r="C46" s="11">
        <f>SUM(C6:C45)</f>
        <v/>
      </c>
      <c r="D46" s="11">
        <f>SUM(D6:D45)</f>
        <v/>
      </c>
      <c r="E46" s="11">
        <f>SUM(E6:E45)</f>
        <v/>
      </c>
      <c r="F46" s="11">
        <f>SUM(F6:F45)</f>
        <v/>
      </c>
      <c r="G46" s="11">
        <f>SUM(G6:G45)</f>
        <v/>
      </c>
      <c r="H46" s="11">
        <f>SUM(H6:H45)</f>
        <v/>
      </c>
      <c r="I46" s="11">
        <f>SUM(I6:I45)</f>
        <v/>
      </c>
      <c r="J46" s="11">
        <f>SUM(J6:J45)</f>
        <v/>
      </c>
      <c r="K46" s="11">
        <f>SUM(K6:K45)</f>
        <v/>
      </c>
      <c r="L46" s="11">
        <f>SUM(L6:L45)</f>
        <v/>
      </c>
      <c r="M46" s="11">
        <f>SUM(M6:M45)</f>
        <v/>
      </c>
      <c r="N46" s="11">
        <f>SUM(N6:N45)</f>
        <v/>
      </c>
    </row>
  </sheetData>
  <autoFilter ref="A5:N45"/>
  <mergeCells count="2">
    <mergeCell ref="A2:N2"/>
    <mergeCell ref="A1:N1"/>
  </mergeCells>
  <conditionalFormatting sqref="B6:M45">
    <cfRule type="expression" priority="1" dxfId="0">
      <formula>AND($A6&lt;&gt;"",LEN(B6)=0)</formula>
    </cfRule>
  </conditionalFormatting>
  <dataValidations count="1">
    <dataValidation sqref="B6:M45" showDropDown="0" showInputMessage="0" showErrorMessage="0" allowBlank="1" errorTitle="Check the amount" error="Enter the amount in rupees, for example 20. Leave the cell empty when nothing was paid." promptTitle="Amount paid" prompt="Rupees paid for this month (0 to 100000)." type="decimal" operator="between">
      <formula1>0</formula1>
      <formula2>100000</formula2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4" customWidth="1" min="4" max="4"/>
    <col width="15" customWidth="1" min="5" max="5"/>
    <col width="26" customWidth="1" min="6" max="6"/>
    <col width="22" customWidth="1" min="7" max="7"/>
    <col width="16" customWidth="1" min="8" max="8"/>
    <col width="14" customWidth="1" min="9" max="9"/>
    <col width="15" customWidth="1" min="10" max="10"/>
    <col width="18" customWidth="1" min="11" max="11"/>
    <col width="26" customWidth="1" min="12" max="12"/>
  </cols>
  <sheetData>
    <row r="1">
      <c r="A1" s="1" t="inlineStr">
        <is>
          <t>Janakalyan Samata Yuwa Club - Donation Record</t>
        </is>
      </c>
    </row>
    <row r="2">
      <c r="A2" s="2" t="inlineStr">
        <is>
          <t>One row per donation. Only rows marked Approved count towards the confirmed total.</t>
        </is>
      </c>
    </row>
    <row r="4" ht="32" customHeight="1">
      <c r="A4" s="6" t="inlineStr">
        <is>
          <t>S.N.</t>
        </is>
      </c>
      <c r="B4" s="6" t="inlineStr">
        <is>
          <t>Nepali Date</t>
        </is>
      </c>
      <c r="C4" s="6" t="inlineStr">
        <is>
          <t>English Date</t>
        </is>
      </c>
      <c r="D4" s="6" t="inlineStr">
        <is>
          <t>Donor Name</t>
        </is>
      </c>
      <c r="E4" s="6" t="inlineStr">
        <is>
          <t>Phone Number</t>
        </is>
      </c>
      <c r="F4" s="6" t="inlineStr">
        <is>
          <t>Email Address</t>
        </is>
      </c>
      <c r="G4" s="6" t="inlineStr">
        <is>
          <t>Donation Purpose</t>
        </is>
      </c>
      <c r="H4" s="6" t="inlineStr">
        <is>
          <t>Payment Method</t>
        </is>
      </c>
      <c r="I4" s="6" t="inlineStr">
        <is>
          <t>Amount (NPR)</t>
        </is>
      </c>
      <c r="J4" s="6" t="inlineStr">
        <is>
          <t>Payment Status</t>
        </is>
      </c>
      <c r="K4" s="6" t="inlineStr">
        <is>
          <t>Received By</t>
        </is>
      </c>
      <c r="L4" s="6" t="inlineStr">
        <is>
          <t>Remarks</t>
        </is>
      </c>
      <c r="N4" s="12" t="inlineStr">
        <is>
          <t>Approved total</t>
        </is>
      </c>
      <c r="O4" s="13">
        <f>SUMIF($J$5:$J$64,"Approved",$I$5:$I$64)</f>
        <v/>
      </c>
    </row>
    <row r="5">
      <c r="A5" s="14">
        <f>IF(COUNTA(D5:J5)=0,"",ROW()-4)</f>
        <v/>
      </c>
      <c r="B5" s="15" t="n"/>
      <c r="C5" s="16" t="n"/>
      <c r="D5" s="17" t="n"/>
      <c r="E5" s="15" t="n"/>
      <c r="F5" s="17" t="n"/>
      <c r="G5" s="17" t="n"/>
      <c r="H5" s="15" t="n"/>
      <c r="I5" s="8" t="n"/>
      <c r="J5" s="15" t="n"/>
      <c r="K5" s="15" t="n"/>
      <c r="L5" s="17" t="n"/>
      <c r="N5" s="12" t="inlineStr">
        <is>
          <t>Pending total</t>
        </is>
      </c>
      <c r="O5" s="13">
        <f>SUMIF($J$5:$J$64,"Pending",$I$5:$I$64)</f>
        <v/>
      </c>
    </row>
    <row r="6">
      <c r="A6" s="14">
        <f>IF(COUNTA(D6:J6)=0,"",ROW()-4)</f>
        <v/>
      </c>
      <c r="B6" s="15" t="n"/>
      <c r="C6" s="16" t="n"/>
      <c r="D6" s="17" t="n"/>
      <c r="E6" s="15" t="n"/>
      <c r="F6" s="17" t="n"/>
      <c r="G6" s="17" t="n"/>
      <c r="H6" s="15" t="n"/>
      <c r="I6" s="8" t="n"/>
      <c r="J6" s="15" t="n"/>
      <c r="K6" s="15" t="n"/>
      <c r="L6" s="17" t="n"/>
      <c r="N6" s="12" t="inlineStr">
        <is>
          <t>Rejected total</t>
        </is>
      </c>
      <c r="O6" s="13">
        <f>SUMIF($J$5:$J$64,"Rejected",$I$5:$I$64)</f>
        <v/>
      </c>
    </row>
    <row r="7">
      <c r="A7" s="14">
        <f>IF(COUNTA(D7:J7)=0,"",ROW()-4)</f>
        <v/>
      </c>
      <c r="B7" s="15" t="n"/>
      <c r="C7" s="16" t="n"/>
      <c r="D7" s="17" t="n"/>
      <c r="E7" s="15" t="n"/>
      <c r="F7" s="17" t="n"/>
      <c r="G7" s="17" t="n"/>
      <c r="H7" s="15" t="n"/>
      <c r="I7" s="8" t="n"/>
      <c r="J7" s="15" t="n"/>
      <c r="K7" s="15" t="n"/>
      <c r="L7" s="17" t="n"/>
      <c r="N7" s="12" t="inlineStr">
        <is>
          <t>Donations recorded</t>
        </is>
      </c>
      <c r="O7" s="13">
        <f>COUNTA($D$5:$D$64)</f>
        <v/>
      </c>
    </row>
    <row r="8">
      <c r="A8" s="14">
        <f>IF(COUNTA(D8:J8)=0,"",ROW()-4)</f>
        <v/>
      </c>
      <c r="B8" s="15" t="n"/>
      <c r="C8" s="16" t="n"/>
      <c r="D8" s="17" t="n"/>
      <c r="E8" s="15" t="n"/>
      <c r="F8" s="17" t="n"/>
      <c r="G8" s="17" t="n"/>
      <c r="H8" s="15" t="n"/>
      <c r="I8" s="8" t="n"/>
      <c r="J8" s="15" t="n"/>
      <c r="K8" s="15" t="n"/>
      <c r="L8" s="17" t="n"/>
    </row>
    <row r="9">
      <c r="A9" s="14">
        <f>IF(COUNTA(D9:J9)=0,"",ROW()-4)</f>
        <v/>
      </c>
      <c r="B9" s="15" t="n"/>
      <c r="C9" s="16" t="n"/>
      <c r="D9" s="17" t="n"/>
      <c r="E9" s="15" t="n"/>
      <c r="F9" s="17" t="n"/>
      <c r="G9" s="17" t="n"/>
      <c r="H9" s="15" t="n"/>
      <c r="I9" s="8" t="n"/>
      <c r="J9" s="15" t="n"/>
      <c r="K9" s="15" t="n"/>
      <c r="L9" s="17" t="n"/>
    </row>
    <row r="10">
      <c r="A10" s="14">
        <f>IF(COUNTA(D10:J10)=0,"",ROW()-4)</f>
        <v/>
      </c>
      <c r="B10" s="15" t="n"/>
      <c r="C10" s="16" t="n"/>
      <c r="D10" s="17" t="n"/>
      <c r="E10" s="15" t="n"/>
      <c r="F10" s="17" t="n"/>
      <c r="G10" s="17" t="n"/>
      <c r="H10" s="15" t="n"/>
      <c r="I10" s="8" t="n"/>
      <c r="J10" s="15" t="n"/>
      <c r="K10" s="15" t="n"/>
      <c r="L10" s="17" t="n"/>
    </row>
    <row r="11">
      <c r="A11" s="14">
        <f>IF(COUNTA(D11:J11)=0,"",ROW()-4)</f>
        <v/>
      </c>
      <c r="B11" s="15" t="n"/>
      <c r="C11" s="16" t="n"/>
      <c r="D11" s="17" t="n"/>
      <c r="E11" s="15" t="n"/>
      <c r="F11" s="17" t="n"/>
      <c r="G11" s="17" t="n"/>
      <c r="H11" s="15" t="n"/>
      <c r="I11" s="8" t="n"/>
      <c r="J11" s="15" t="n"/>
      <c r="K11" s="15" t="n"/>
      <c r="L11" s="17" t="n"/>
    </row>
    <row r="12">
      <c r="A12" s="14">
        <f>IF(COUNTA(D12:J12)=0,"",ROW()-4)</f>
        <v/>
      </c>
      <c r="B12" s="15" t="n"/>
      <c r="C12" s="16" t="n"/>
      <c r="D12" s="17" t="n"/>
      <c r="E12" s="15" t="n"/>
      <c r="F12" s="17" t="n"/>
      <c r="G12" s="17" t="n"/>
      <c r="H12" s="15" t="n"/>
      <c r="I12" s="8" t="n"/>
      <c r="J12" s="15" t="n"/>
      <c r="K12" s="15" t="n"/>
      <c r="L12" s="17" t="n"/>
    </row>
    <row r="13">
      <c r="A13" s="14">
        <f>IF(COUNTA(D13:J13)=0,"",ROW()-4)</f>
        <v/>
      </c>
      <c r="B13" s="15" t="n"/>
      <c r="C13" s="16" t="n"/>
      <c r="D13" s="17" t="n"/>
      <c r="E13" s="15" t="n"/>
      <c r="F13" s="17" t="n"/>
      <c r="G13" s="17" t="n"/>
      <c r="H13" s="15" t="n"/>
      <c r="I13" s="8" t="n"/>
      <c r="J13" s="15" t="n"/>
      <c r="K13" s="15" t="n"/>
      <c r="L13" s="17" t="n"/>
    </row>
    <row r="14">
      <c r="A14" s="14">
        <f>IF(COUNTA(D14:J14)=0,"",ROW()-4)</f>
        <v/>
      </c>
      <c r="B14" s="15" t="n"/>
      <c r="C14" s="16" t="n"/>
      <c r="D14" s="17" t="n"/>
      <c r="E14" s="15" t="n"/>
      <c r="F14" s="17" t="n"/>
      <c r="G14" s="17" t="n"/>
      <c r="H14" s="15" t="n"/>
      <c r="I14" s="8" t="n"/>
      <c r="J14" s="15" t="n"/>
      <c r="K14" s="15" t="n"/>
      <c r="L14" s="17" t="n"/>
    </row>
    <row r="15">
      <c r="A15" s="14">
        <f>IF(COUNTA(D15:J15)=0,"",ROW()-4)</f>
        <v/>
      </c>
      <c r="B15" s="15" t="n"/>
      <c r="C15" s="16" t="n"/>
      <c r="D15" s="17" t="n"/>
      <c r="E15" s="15" t="n"/>
      <c r="F15" s="17" t="n"/>
      <c r="G15" s="17" t="n"/>
      <c r="H15" s="15" t="n"/>
      <c r="I15" s="8" t="n"/>
      <c r="J15" s="15" t="n"/>
      <c r="K15" s="15" t="n"/>
      <c r="L15" s="17" t="n"/>
    </row>
    <row r="16">
      <c r="A16" s="14">
        <f>IF(COUNTA(D16:J16)=0,"",ROW()-4)</f>
        <v/>
      </c>
      <c r="B16" s="15" t="n"/>
      <c r="C16" s="16" t="n"/>
      <c r="D16" s="17" t="n"/>
      <c r="E16" s="15" t="n"/>
      <c r="F16" s="17" t="n"/>
      <c r="G16" s="17" t="n"/>
      <c r="H16" s="15" t="n"/>
      <c r="I16" s="8" t="n"/>
      <c r="J16" s="15" t="n"/>
      <c r="K16" s="15" t="n"/>
      <c r="L16" s="17" t="n"/>
    </row>
    <row r="17">
      <c r="A17" s="14">
        <f>IF(COUNTA(D17:J17)=0,"",ROW()-4)</f>
        <v/>
      </c>
      <c r="B17" s="15" t="n"/>
      <c r="C17" s="16" t="n"/>
      <c r="D17" s="17" t="n"/>
      <c r="E17" s="15" t="n"/>
      <c r="F17" s="17" t="n"/>
      <c r="G17" s="17" t="n"/>
      <c r="H17" s="15" t="n"/>
      <c r="I17" s="8" t="n"/>
      <c r="J17" s="15" t="n"/>
      <c r="K17" s="15" t="n"/>
      <c r="L17" s="17" t="n"/>
    </row>
    <row r="18">
      <c r="A18" s="14">
        <f>IF(COUNTA(D18:J18)=0,"",ROW()-4)</f>
        <v/>
      </c>
      <c r="B18" s="15" t="n"/>
      <c r="C18" s="16" t="n"/>
      <c r="D18" s="17" t="n"/>
      <c r="E18" s="15" t="n"/>
      <c r="F18" s="17" t="n"/>
      <c r="G18" s="17" t="n"/>
      <c r="H18" s="15" t="n"/>
      <c r="I18" s="8" t="n"/>
      <c r="J18" s="15" t="n"/>
      <c r="K18" s="15" t="n"/>
      <c r="L18" s="17" t="n"/>
    </row>
    <row r="19">
      <c r="A19" s="14">
        <f>IF(COUNTA(D19:J19)=0,"",ROW()-4)</f>
        <v/>
      </c>
      <c r="B19" s="15" t="n"/>
      <c r="C19" s="16" t="n"/>
      <c r="D19" s="17" t="n"/>
      <c r="E19" s="15" t="n"/>
      <c r="F19" s="17" t="n"/>
      <c r="G19" s="17" t="n"/>
      <c r="H19" s="15" t="n"/>
      <c r="I19" s="8" t="n"/>
      <c r="J19" s="15" t="n"/>
      <c r="K19" s="15" t="n"/>
      <c r="L19" s="17" t="n"/>
    </row>
    <row r="20">
      <c r="A20" s="14">
        <f>IF(COUNTA(D20:J20)=0,"",ROW()-4)</f>
        <v/>
      </c>
      <c r="B20" s="15" t="n"/>
      <c r="C20" s="16" t="n"/>
      <c r="D20" s="17" t="n"/>
      <c r="E20" s="15" t="n"/>
      <c r="F20" s="17" t="n"/>
      <c r="G20" s="17" t="n"/>
      <c r="H20" s="15" t="n"/>
      <c r="I20" s="8" t="n"/>
      <c r="J20" s="15" t="n"/>
      <c r="K20" s="15" t="n"/>
      <c r="L20" s="17" t="n"/>
    </row>
    <row r="21">
      <c r="A21" s="14">
        <f>IF(COUNTA(D21:J21)=0,"",ROW()-4)</f>
        <v/>
      </c>
      <c r="B21" s="15" t="n"/>
      <c r="C21" s="16" t="n"/>
      <c r="D21" s="17" t="n"/>
      <c r="E21" s="15" t="n"/>
      <c r="F21" s="17" t="n"/>
      <c r="G21" s="17" t="n"/>
      <c r="H21" s="15" t="n"/>
      <c r="I21" s="8" t="n"/>
      <c r="J21" s="15" t="n"/>
      <c r="K21" s="15" t="n"/>
      <c r="L21" s="17" t="n"/>
    </row>
    <row r="22">
      <c r="A22" s="14">
        <f>IF(COUNTA(D22:J22)=0,"",ROW()-4)</f>
        <v/>
      </c>
      <c r="B22" s="15" t="n"/>
      <c r="C22" s="16" t="n"/>
      <c r="D22" s="17" t="n"/>
      <c r="E22" s="15" t="n"/>
      <c r="F22" s="17" t="n"/>
      <c r="G22" s="17" t="n"/>
      <c r="H22" s="15" t="n"/>
      <c r="I22" s="8" t="n"/>
      <c r="J22" s="15" t="n"/>
      <c r="K22" s="15" t="n"/>
      <c r="L22" s="17" t="n"/>
    </row>
    <row r="23">
      <c r="A23" s="14">
        <f>IF(COUNTA(D23:J23)=0,"",ROW()-4)</f>
        <v/>
      </c>
      <c r="B23" s="15" t="n"/>
      <c r="C23" s="16" t="n"/>
      <c r="D23" s="17" t="n"/>
      <c r="E23" s="15" t="n"/>
      <c r="F23" s="17" t="n"/>
      <c r="G23" s="17" t="n"/>
      <c r="H23" s="15" t="n"/>
      <c r="I23" s="8" t="n"/>
      <c r="J23" s="15" t="n"/>
      <c r="K23" s="15" t="n"/>
      <c r="L23" s="17" t="n"/>
    </row>
    <row r="24">
      <c r="A24" s="14">
        <f>IF(COUNTA(D24:J24)=0,"",ROW()-4)</f>
        <v/>
      </c>
      <c r="B24" s="15" t="n"/>
      <c r="C24" s="16" t="n"/>
      <c r="D24" s="17" t="n"/>
      <c r="E24" s="15" t="n"/>
      <c r="F24" s="17" t="n"/>
      <c r="G24" s="17" t="n"/>
      <c r="H24" s="15" t="n"/>
      <c r="I24" s="8" t="n"/>
      <c r="J24" s="15" t="n"/>
      <c r="K24" s="15" t="n"/>
      <c r="L24" s="17" t="n"/>
    </row>
    <row r="25">
      <c r="A25" s="14">
        <f>IF(COUNTA(D25:J25)=0,"",ROW()-4)</f>
        <v/>
      </c>
      <c r="B25" s="15" t="n"/>
      <c r="C25" s="16" t="n"/>
      <c r="D25" s="17" t="n"/>
      <c r="E25" s="15" t="n"/>
      <c r="F25" s="17" t="n"/>
      <c r="G25" s="17" t="n"/>
      <c r="H25" s="15" t="n"/>
      <c r="I25" s="8" t="n"/>
      <c r="J25" s="15" t="n"/>
      <c r="K25" s="15" t="n"/>
      <c r="L25" s="17" t="n"/>
    </row>
    <row r="26">
      <c r="A26" s="14">
        <f>IF(COUNTA(D26:J26)=0,"",ROW()-4)</f>
        <v/>
      </c>
      <c r="B26" s="15" t="n"/>
      <c r="C26" s="16" t="n"/>
      <c r="D26" s="17" t="n"/>
      <c r="E26" s="15" t="n"/>
      <c r="F26" s="17" t="n"/>
      <c r="G26" s="17" t="n"/>
      <c r="H26" s="15" t="n"/>
      <c r="I26" s="8" t="n"/>
      <c r="J26" s="15" t="n"/>
      <c r="K26" s="15" t="n"/>
      <c r="L26" s="17" t="n"/>
    </row>
    <row r="27">
      <c r="A27" s="14">
        <f>IF(COUNTA(D27:J27)=0,"",ROW()-4)</f>
        <v/>
      </c>
      <c r="B27" s="15" t="n"/>
      <c r="C27" s="16" t="n"/>
      <c r="D27" s="17" t="n"/>
      <c r="E27" s="15" t="n"/>
      <c r="F27" s="17" t="n"/>
      <c r="G27" s="17" t="n"/>
      <c r="H27" s="15" t="n"/>
      <c r="I27" s="8" t="n"/>
      <c r="J27" s="15" t="n"/>
      <c r="K27" s="15" t="n"/>
      <c r="L27" s="17" t="n"/>
    </row>
    <row r="28">
      <c r="A28" s="14">
        <f>IF(COUNTA(D28:J28)=0,"",ROW()-4)</f>
        <v/>
      </c>
      <c r="B28" s="15" t="n"/>
      <c r="C28" s="16" t="n"/>
      <c r="D28" s="17" t="n"/>
      <c r="E28" s="15" t="n"/>
      <c r="F28" s="17" t="n"/>
      <c r="G28" s="17" t="n"/>
      <c r="H28" s="15" t="n"/>
      <c r="I28" s="8" t="n"/>
      <c r="J28" s="15" t="n"/>
      <c r="K28" s="15" t="n"/>
      <c r="L28" s="17" t="n"/>
    </row>
    <row r="29">
      <c r="A29" s="14">
        <f>IF(COUNTA(D29:J29)=0,"",ROW()-4)</f>
        <v/>
      </c>
      <c r="B29" s="15" t="n"/>
      <c r="C29" s="16" t="n"/>
      <c r="D29" s="17" t="n"/>
      <c r="E29" s="15" t="n"/>
      <c r="F29" s="17" t="n"/>
      <c r="G29" s="17" t="n"/>
      <c r="H29" s="15" t="n"/>
      <c r="I29" s="8" t="n"/>
      <c r="J29" s="15" t="n"/>
      <c r="K29" s="15" t="n"/>
      <c r="L29" s="17" t="n"/>
    </row>
    <row r="30">
      <c r="A30" s="14">
        <f>IF(COUNTA(D30:J30)=0,"",ROW()-4)</f>
        <v/>
      </c>
      <c r="B30" s="15" t="n"/>
      <c r="C30" s="16" t="n"/>
      <c r="D30" s="17" t="n"/>
      <c r="E30" s="15" t="n"/>
      <c r="F30" s="17" t="n"/>
      <c r="G30" s="17" t="n"/>
      <c r="H30" s="15" t="n"/>
      <c r="I30" s="8" t="n"/>
      <c r="J30" s="15" t="n"/>
      <c r="K30" s="15" t="n"/>
      <c r="L30" s="17" t="n"/>
    </row>
    <row r="31">
      <c r="A31" s="14">
        <f>IF(COUNTA(D31:J31)=0,"",ROW()-4)</f>
        <v/>
      </c>
      <c r="B31" s="15" t="n"/>
      <c r="C31" s="16" t="n"/>
      <c r="D31" s="17" t="n"/>
      <c r="E31" s="15" t="n"/>
      <c r="F31" s="17" t="n"/>
      <c r="G31" s="17" t="n"/>
      <c r="H31" s="15" t="n"/>
      <c r="I31" s="8" t="n"/>
      <c r="J31" s="15" t="n"/>
      <c r="K31" s="15" t="n"/>
      <c r="L31" s="17" t="n"/>
    </row>
    <row r="32">
      <c r="A32" s="14">
        <f>IF(COUNTA(D32:J32)=0,"",ROW()-4)</f>
        <v/>
      </c>
      <c r="B32" s="15" t="n"/>
      <c r="C32" s="16" t="n"/>
      <c r="D32" s="17" t="n"/>
      <c r="E32" s="15" t="n"/>
      <c r="F32" s="17" t="n"/>
      <c r="G32" s="17" t="n"/>
      <c r="H32" s="15" t="n"/>
      <c r="I32" s="8" t="n"/>
      <c r="J32" s="15" t="n"/>
      <c r="K32" s="15" t="n"/>
      <c r="L32" s="17" t="n"/>
    </row>
    <row r="33">
      <c r="A33" s="14">
        <f>IF(COUNTA(D33:J33)=0,"",ROW()-4)</f>
        <v/>
      </c>
      <c r="B33" s="15" t="n"/>
      <c r="C33" s="16" t="n"/>
      <c r="D33" s="17" t="n"/>
      <c r="E33" s="15" t="n"/>
      <c r="F33" s="17" t="n"/>
      <c r="G33" s="17" t="n"/>
      <c r="H33" s="15" t="n"/>
      <c r="I33" s="8" t="n"/>
      <c r="J33" s="15" t="n"/>
      <c r="K33" s="15" t="n"/>
      <c r="L33" s="17" t="n"/>
    </row>
    <row r="34">
      <c r="A34" s="14">
        <f>IF(COUNTA(D34:J34)=0,"",ROW()-4)</f>
        <v/>
      </c>
      <c r="B34" s="15" t="n"/>
      <c r="C34" s="16" t="n"/>
      <c r="D34" s="17" t="n"/>
      <c r="E34" s="15" t="n"/>
      <c r="F34" s="17" t="n"/>
      <c r="G34" s="17" t="n"/>
      <c r="H34" s="15" t="n"/>
      <c r="I34" s="8" t="n"/>
      <c r="J34" s="15" t="n"/>
      <c r="K34" s="15" t="n"/>
      <c r="L34" s="17" t="n"/>
    </row>
    <row r="35">
      <c r="A35" s="14">
        <f>IF(COUNTA(D35:J35)=0,"",ROW()-4)</f>
        <v/>
      </c>
      <c r="B35" s="15" t="n"/>
      <c r="C35" s="16" t="n"/>
      <c r="D35" s="17" t="n"/>
      <c r="E35" s="15" t="n"/>
      <c r="F35" s="17" t="n"/>
      <c r="G35" s="17" t="n"/>
      <c r="H35" s="15" t="n"/>
      <c r="I35" s="8" t="n"/>
      <c r="J35" s="15" t="n"/>
      <c r="K35" s="15" t="n"/>
      <c r="L35" s="17" t="n"/>
    </row>
    <row r="36">
      <c r="A36" s="14">
        <f>IF(COUNTA(D36:J36)=0,"",ROW()-4)</f>
        <v/>
      </c>
      <c r="B36" s="15" t="n"/>
      <c r="C36" s="16" t="n"/>
      <c r="D36" s="17" t="n"/>
      <c r="E36" s="15" t="n"/>
      <c r="F36" s="17" t="n"/>
      <c r="G36" s="17" t="n"/>
      <c r="H36" s="15" t="n"/>
      <c r="I36" s="8" t="n"/>
      <c r="J36" s="15" t="n"/>
      <c r="K36" s="15" t="n"/>
      <c r="L36" s="17" t="n"/>
    </row>
    <row r="37">
      <c r="A37" s="14">
        <f>IF(COUNTA(D37:J37)=0,"",ROW()-4)</f>
        <v/>
      </c>
      <c r="B37" s="15" t="n"/>
      <c r="C37" s="16" t="n"/>
      <c r="D37" s="17" t="n"/>
      <c r="E37" s="15" t="n"/>
      <c r="F37" s="17" t="n"/>
      <c r="G37" s="17" t="n"/>
      <c r="H37" s="15" t="n"/>
      <c r="I37" s="8" t="n"/>
      <c r="J37" s="15" t="n"/>
      <c r="K37" s="15" t="n"/>
      <c r="L37" s="17" t="n"/>
    </row>
    <row r="38">
      <c r="A38" s="14">
        <f>IF(COUNTA(D38:J38)=0,"",ROW()-4)</f>
        <v/>
      </c>
      <c r="B38" s="15" t="n"/>
      <c r="C38" s="16" t="n"/>
      <c r="D38" s="17" t="n"/>
      <c r="E38" s="15" t="n"/>
      <c r="F38" s="17" t="n"/>
      <c r="G38" s="17" t="n"/>
      <c r="H38" s="15" t="n"/>
      <c r="I38" s="8" t="n"/>
      <c r="J38" s="15" t="n"/>
      <c r="K38" s="15" t="n"/>
      <c r="L38" s="17" t="n"/>
    </row>
    <row r="39">
      <c r="A39" s="14">
        <f>IF(COUNTA(D39:J39)=0,"",ROW()-4)</f>
        <v/>
      </c>
      <c r="B39" s="15" t="n"/>
      <c r="C39" s="16" t="n"/>
      <c r="D39" s="17" t="n"/>
      <c r="E39" s="15" t="n"/>
      <c r="F39" s="17" t="n"/>
      <c r="G39" s="17" t="n"/>
      <c r="H39" s="15" t="n"/>
      <c r="I39" s="8" t="n"/>
      <c r="J39" s="15" t="n"/>
      <c r="K39" s="15" t="n"/>
      <c r="L39" s="17" t="n"/>
    </row>
    <row r="40">
      <c r="A40" s="14">
        <f>IF(COUNTA(D40:J40)=0,"",ROW()-4)</f>
        <v/>
      </c>
      <c r="B40" s="15" t="n"/>
      <c r="C40" s="16" t="n"/>
      <c r="D40" s="17" t="n"/>
      <c r="E40" s="15" t="n"/>
      <c r="F40" s="17" t="n"/>
      <c r="G40" s="17" t="n"/>
      <c r="H40" s="15" t="n"/>
      <c r="I40" s="8" t="n"/>
      <c r="J40" s="15" t="n"/>
      <c r="K40" s="15" t="n"/>
      <c r="L40" s="17" t="n"/>
    </row>
    <row r="41">
      <c r="A41" s="14">
        <f>IF(COUNTA(D41:J41)=0,"",ROW()-4)</f>
        <v/>
      </c>
      <c r="B41" s="15" t="n"/>
      <c r="C41" s="16" t="n"/>
      <c r="D41" s="17" t="n"/>
      <c r="E41" s="15" t="n"/>
      <c r="F41" s="17" t="n"/>
      <c r="G41" s="17" t="n"/>
      <c r="H41" s="15" t="n"/>
      <c r="I41" s="8" t="n"/>
      <c r="J41" s="15" t="n"/>
      <c r="K41" s="15" t="n"/>
      <c r="L41" s="17" t="n"/>
    </row>
    <row r="42">
      <c r="A42" s="14">
        <f>IF(COUNTA(D42:J42)=0,"",ROW()-4)</f>
        <v/>
      </c>
      <c r="B42" s="15" t="n"/>
      <c r="C42" s="16" t="n"/>
      <c r="D42" s="17" t="n"/>
      <c r="E42" s="15" t="n"/>
      <c r="F42" s="17" t="n"/>
      <c r="G42" s="17" t="n"/>
      <c r="H42" s="15" t="n"/>
      <c r="I42" s="8" t="n"/>
      <c r="J42" s="15" t="n"/>
      <c r="K42" s="15" t="n"/>
      <c r="L42" s="17" t="n"/>
    </row>
    <row r="43">
      <c r="A43" s="14">
        <f>IF(COUNTA(D43:J43)=0,"",ROW()-4)</f>
        <v/>
      </c>
      <c r="B43" s="15" t="n"/>
      <c r="C43" s="16" t="n"/>
      <c r="D43" s="17" t="n"/>
      <c r="E43" s="15" t="n"/>
      <c r="F43" s="17" t="n"/>
      <c r="G43" s="17" t="n"/>
      <c r="H43" s="15" t="n"/>
      <c r="I43" s="8" t="n"/>
      <c r="J43" s="15" t="n"/>
      <c r="K43" s="15" t="n"/>
      <c r="L43" s="17" t="n"/>
    </row>
    <row r="44">
      <c r="A44" s="14">
        <f>IF(COUNTA(D44:J44)=0,"",ROW()-4)</f>
        <v/>
      </c>
      <c r="B44" s="15" t="n"/>
      <c r="C44" s="16" t="n"/>
      <c r="D44" s="17" t="n"/>
      <c r="E44" s="15" t="n"/>
      <c r="F44" s="17" t="n"/>
      <c r="G44" s="17" t="n"/>
      <c r="H44" s="15" t="n"/>
      <c r="I44" s="8" t="n"/>
      <c r="J44" s="15" t="n"/>
      <c r="K44" s="15" t="n"/>
      <c r="L44" s="17" t="n"/>
    </row>
    <row r="45">
      <c r="A45" s="14">
        <f>IF(COUNTA(D45:J45)=0,"",ROW()-4)</f>
        <v/>
      </c>
      <c r="B45" s="15" t="n"/>
      <c r="C45" s="16" t="n"/>
      <c r="D45" s="17" t="n"/>
      <c r="E45" s="15" t="n"/>
      <c r="F45" s="17" t="n"/>
      <c r="G45" s="17" t="n"/>
      <c r="H45" s="15" t="n"/>
      <c r="I45" s="8" t="n"/>
      <c r="J45" s="15" t="n"/>
      <c r="K45" s="15" t="n"/>
      <c r="L45" s="17" t="n"/>
    </row>
    <row r="46">
      <c r="A46" s="14">
        <f>IF(COUNTA(D46:J46)=0,"",ROW()-4)</f>
        <v/>
      </c>
      <c r="B46" s="15" t="n"/>
      <c r="C46" s="16" t="n"/>
      <c r="D46" s="17" t="n"/>
      <c r="E46" s="15" t="n"/>
      <c r="F46" s="17" t="n"/>
      <c r="G46" s="17" t="n"/>
      <c r="H46" s="15" t="n"/>
      <c r="I46" s="8" t="n"/>
      <c r="J46" s="15" t="n"/>
      <c r="K46" s="15" t="n"/>
      <c r="L46" s="17" t="n"/>
    </row>
    <row r="47">
      <c r="A47" s="14">
        <f>IF(COUNTA(D47:J47)=0,"",ROW()-4)</f>
        <v/>
      </c>
      <c r="B47" s="15" t="n"/>
      <c r="C47" s="16" t="n"/>
      <c r="D47" s="17" t="n"/>
      <c r="E47" s="15" t="n"/>
      <c r="F47" s="17" t="n"/>
      <c r="G47" s="17" t="n"/>
      <c r="H47" s="15" t="n"/>
      <c r="I47" s="8" t="n"/>
      <c r="J47" s="15" t="n"/>
      <c r="K47" s="15" t="n"/>
      <c r="L47" s="17" t="n"/>
    </row>
    <row r="48">
      <c r="A48" s="14">
        <f>IF(COUNTA(D48:J48)=0,"",ROW()-4)</f>
        <v/>
      </c>
      <c r="B48" s="15" t="n"/>
      <c r="C48" s="16" t="n"/>
      <c r="D48" s="17" t="n"/>
      <c r="E48" s="15" t="n"/>
      <c r="F48" s="17" t="n"/>
      <c r="G48" s="17" t="n"/>
      <c r="H48" s="15" t="n"/>
      <c r="I48" s="8" t="n"/>
      <c r="J48" s="15" t="n"/>
      <c r="K48" s="15" t="n"/>
      <c r="L48" s="17" t="n"/>
    </row>
    <row r="49">
      <c r="A49" s="14">
        <f>IF(COUNTA(D49:J49)=0,"",ROW()-4)</f>
        <v/>
      </c>
      <c r="B49" s="15" t="n"/>
      <c r="C49" s="16" t="n"/>
      <c r="D49" s="17" t="n"/>
      <c r="E49" s="15" t="n"/>
      <c r="F49" s="17" t="n"/>
      <c r="G49" s="17" t="n"/>
      <c r="H49" s="15" t="n"/>
      <c r="I49" s="8" t="n"/>
      <c r="J49" s="15" t="n"/>
      <c r="K49" s="15" t="n"/>
      <c r="L49" s="17" t="n"/>
    </row>
    <row r="50">
      <c r="A50" s="14">
        <f>IF(COUNTA(D50:J50)=0,"",ROW()-4)</f>
        <v/>
      </c>
      <c r="B50" s="15" t="n"/>
      <c r="C50" s="16" t="n"/>
      <c r="D50" s="17" t="n"/>
      <c r="E50" s="15" t="n"/>
      <c r="F50" s="17" t="n"/>
      <c r="G50" s="17" t="n"/>
      <c r="H50" s="15" t="n"/>
      <c r="I50" s="8" t="n"/>
      <c r="J50" s="15" t="n"/>
      <c r="K50" s="15" t="n"/>
      <c r="L50" s="17" t="n"/>
    </row>
    <row r="51">
      <c r="A51" s="14">
        <f>IF(COUNTA(D51:J51)=0,"",ROW()-4)</f>
        <v/>
      </c>
      <c r="B51" s="15" t="n"/>
      <c r="C51" s="16" t="n"/>
      <c r="D51" s="17" t="n"/>
      <c r="E51" s="15" t="n"/>
      <c r="F51" s="17" t="n"/>
      <c r="G51" s="17" t="n"/>
      <c r="H51" s="15" t="n"/>
      <c r="I51" s="8" t="n"/>
      <c r="J51" s="15" t="n"/>
      <c r="K51" s="15" t="n"/>
      <c r="L51" s="17" t="n"/>
    </row>
    <row r="52">
      <c r="A52" s="14">
        <f>IF(COUNTA(D52:J52)=0,"",ROW()-4)</f>
        <v/>
      </c>
      <c r="B52" s="15" t="n"/>
      <c r="C52" s="16" t="n"/>
      <c r="D52" s="17" t="n"/>
      <c r="E52" s="15" t="n"/>
      <c r="F52" s="17" t="n"/>
      <c r="G52" s="17" t="n"/>
      <c r="H52" s="15" t="n"/>
      <c r="I52" s="8" t="n"/>
      <c r="J52" s="15" t="n"/>
      <c r="K52" s="15" t="n"/>
      <c r="L52" s="17" t="n"/>
    </row>
    <row r="53">
      <c r="A53" s="14">
        <f>IF(COUNTA(D53:J53)=0,"",ROW()-4)</f>
        <v/>
      </c>
      <c r="B53" s="15" t="n"/>
      <c r="C53" s="16" t="n"/>
      <c r="D53" s="17" t="n"/>
      <c r="E53" s="15" t="n"/>
      <c r="F53" s="17" t="n"/>
      <c r="G53" s="17" t="n"/>
      <c r="H53" s="15" t="n"/>
      <c r="I53" s="8" t="n"/>
      <c r="J53" s="15" t="n"/>
      <c r="K53" s="15" t="n"/>
      <c r="L53" s="17" t="n"/>
    </row>
    <row r="54">
      <c r="A54" s="14">
        <f>IF(COUNTA(D54:J54)=0,"",ROW()-4)</f>
        <v/>
      </c>
      <c r="B54" s="15" t="n"/>
      <c r="C54" s="16" t="n"/>
      <c r="D54" s="17" t="n"/>
      <c r="E54" s="15" t="n"/>
      <c r="F54" s="17" t="n"/>
      <c r="G54" s="17" t="n"/>
      <c r="H54" s="15" t="n"/>
      <c r="I54" s="8" t="n"/>
      <c r="J54" s="15" t="n"/>
      <c r="K54" s="15" t="n"/>
      <c r="L54" s="17" t="n"/>
    </row>
    <row r="55">
      <c r="A55" s="14">
        <f>IF(COUNTA(D55:J55)=0,"",ROW()-4)</f>
        <v/>
      </c>
      <c r="B55" s="15" t="n"/>
      <c r="C55" s="16" t="n"/>
      <c r="D55" s="17" t="n"/>
      <c r="E55" s="15" t="n"/>
      <c r="F55" s="17" t="n"/>
      <c r="G55" s="17" t="n"/>
      <c r="H55" s="15" t="n"/>
      <c r="I55" s="8" t="n"/>
      <c r="J55" s="15" t="n"/>
      <c r="K55" s="15" t="n"/>
      <c r="L55" s="17" t="n"/>
    </row>
    <row r="56">
      <c r="A56" s="14">
        <f>IF(COUNTA(D56:J56)=0,"",ROW()-4)</f>
        <v/>
      </c>
      <c r="B56" s="15" t="n"/>
      <c r="C56" s="16" t="n"/>
      <c r="D56" s="17" t="n"/>
      <c r="E56" s="15" t="n"/>
      <c r="F56" s="17" t="n"/>
      <c r="G56" s="17" t="n"/>
      <c r="H56" s="15" t="n"/>
      <c r="I56" s="8" t="n"/>
      <c r="J56" s="15" t="n"/>
      <c r="K56" s="15" t="n"/>
      <c r="L56" s="17" t="n"/>
    </row>
    <row r="57">
      <c r="A57" s="14">
        <f>IF(COUNTA(D57:J57)=0,"",ROW()-4)</f>
        <v/>
      </c>
      <c r="B57" s="15" t="n"/>
      <c r="C57" s="16" t="n"/>
      <c r="D57" s="17" t="n"/>
      <c r="E57" s="15" t="n"/>
      <c r="F57" s="17" t="n"/>
      <c r="G57" s="17" t="n"/>
      <c r="H57" s="15" t="n"/>
      <c r="I57" s="8" t="n"/>
      <c r="J57" s="15" t="n"/>
      <c r="K57" s="15" t="n"/>
      <c r="L57" s="17" t="n"/>
    </row>
    <row r="58">
      <c r="A58" s="14">
        <f>IF(COUNTA(D58:J58)=0,"",ROW()-4)</f>
        <v/>
      </c>
      <c r="B58" s="15" t="n"/>
      <c r="C58" s="16" t="n"/>
      <c r="D58" s="17" t="n"/>
      <c r="E58" s="15" t="n"/>
      <c r="F58" s="17" t="n"/>
      <c r="G58" s="17" t="n"/>
      <c r="H58" s="15" t="n"/>
      <c r="I58" s="8" t="n"/>
      <c r="J58" s="15" t="n"/>
      <c r="K58" s="15" t="n"/>
      <c r="L58" s="17" t="n"/>
    </row>
    <row r="59">
      <c r="A59" s="14">
        <f>IF(COUNTA(D59:J59)=0,"",ROW()-4)</f>
        <v/>
      </c>
      <c r="B59" s="15" t="n"/>
      <c r="C59" s="16" t="n"/>
      <c r="D59" s="17" t="n"/>
      <c r="E59" s="15" t="n"/>
      <c r="F59" s="17" t="n"/>
      <c r="G59" s="17" t="n"/>
      <c r="H59" s="15" t="n"/>
      <c r="I59" s="8" t="n"/>
      <c r="J59" s="15" t="n"/>
      <c r="K59" s="15" t="n"/>
      <c r="L59" s="17" t="n"/>
    </row>
    <row r="60">
      <c r="A60" s="14">
        <f>IF(COUNTA(D60:J60)=0,"",ROW()-4)</f>
        <v/>
      </c>
      <c r="B60" s="15" t="n"/>
      <c r="C60" s="16" t="n"/>
      <c r="D60" s="17" t="n"/>
      <c r="E60" s="15" t="n"/>
      <c r="F60" s="17" t="n"/>
      <c r="G60" s="17" t="n"/>
      <c r="H60" s="15" t="n"/>
      <c r="I60" s="8" t="n"/>
      <c r="J60" s="15" t="n"/>
      <c r="K60" s="15" t="n"/>
      <c r="L60" s="17" t="n"/>
    </row>
    <row r="61">
      <c r="A61" s="14">
        <f>IF(COUNTA(D61:J61)=0,"",ROW()-4)</f>
        <v/>
      </c>
      <c r="B61" s="15" t="n"/>
      <c r="C61" s="16" t="n"/>
      <c r="D61" s="17" t="n"/>
      <c r="E61" s="15" t="n"/>
      <c r="F61" s="17" t="n"/>
      <c r="G61" s="17" t="n"/>
      <c r="H61" s="15" t="n"/>
      <c r="I61" s="8" t="n"/>
      <c r="J61" s="15" t="n"/>
      <c r="K61" s="15" t="n"/>
      <c r="L61" s="17" t="n"/>
    </row>
    <row r="62">
      <c r="A62" s="14">
        <f>IF(COUNTA(D62:J62)=0,"",ROW()-4)</f>
        <v/>
      </c>
      <c r="B62" s="15" t="n"/>
      <c r="C62" s="16" t="n"/>
      <c r="D62" s="17" t="n"/>
      <c r="E62" s="15" t="n"/>
      <c r="F62" s="17" t="n"/>
      <c r="G62" s="17" t="n"/>
      <c r="H62" s="15" t="n"/>
      <c r="I62" s="8" t="n"/>
      <c r="J62" s="15" t="n"/>
      <c r="K62" s="15" t="n"/>
      <c r="L62" s="17" t="n"/>
    </row>
    <row r="63">
      <c r="A63" s="14">
        <f>IF(COUNTA(D63:J63)=0,"",ROW()-4)</f>
        <v/>
      </c>
      <c r="B63" s="15" t="n"/>
      <c r="C63" s="16" t="n"/>
      <c r="D63" s="17" t="n"/>
      <c r="E63" s="15" t="n"/>
      <c r="F63" s="17" t="n"/>
      <c r="G63" s="17" t="n"/>
      <c r="H63" s="15" t="n"/>
      <c r="I63" s="8" t="n"/>
      <c r="J63" s="15" t="n"/>
      <c r="K63" s="15" t="n"/>
      <c r="L63" s="17" t="n"/>
    </row>
    <row r="64">
      <c r="A64" s="14">
        <f>IF(COUNTA(D64:J64)=0,"",ROW()-4)</f>
        <v/>
      </c>
      <c r="B64" s="15" t="n"/>
      <c r="C64" s="16" t="n"/>
      <c r="D64" s="17" t="n"/>
      <c r="E64" s="15" t="n"/>
      <c r="F64" s="17" t="n"/>
      <c r="G64" s="17" t="n"/>
      <c r="H64" s="15" t="n"/>
      <c r="I64" s="8" t="n"/>
      <c r="J64" s="15" t="n"/>
      <c r="K64" s="15" t="n"/>
      <c r="L64" s="17" t="n"/>
    </row>
  </sheetData>
  <autoFilter ref="A4:L64"/>
  <mergeCells count="2">
    <mergeCell ref="A2:L2"/>
    <mergeCell ref="A1:L1"/>
  </mergeCells>
  <conditionalFormatting sqref="J5:J64">
    <cfRule type="cellIs" priority="1" operator="equal" dxfId="0">
      <formula>"Pending"</formula>
    </cfRule>
    <cfRule type="cellIs" priority="2" operator="equal" dxfId="1">
      <formula>"Approved"</formula>
    </cfRule>
    <cfRule type="cellIs" priority="3" operator="equal" dxfId="2">
      <formula>"Rejected"</formula>
    </cfRule>
  </conditionalFormatting>
  <dataValidations count="3">
    <dataValidation sqref="J5:J64" showDropDown="0" showInputMessage="0" showErrorMessage="0" allowBlank="1" errorTitle="Choose a status" error="Pick Pending, Approved or Rejected." type="list">
      <formula1>"Pending,Approved,Rejected"</formula1>
    </dataValidation>
    <dataValidation sqref="H5:H64" showDropDown="0" showInputMessage="0" showErrorMessage="0" allowBlank="1" errorTitle="Choose a method" error="Pick Cash, eSewa, Bank Transfer or QR." type="list">
      <formula1>"Cash,eSewa,Bank Transfer,QR"</formula1>
    </dataValidation>
    <dataValidation sqref="I5:I64" showDropDown="0" showInputMessage="0" showErrorMessage="0" allowBlank="1" errorTitle="Check the amount" error="A donation must be more than zero." type="decimal" operator="greaterThan">
      <formula1>0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Monthly Fund Summary</t>
        </is>
      </c>
    </row>
    <row r="2">
      <c r="A2" s="2" t="inlineStr">
        <is>
          <t>These figures come straight from the Monthly Fund Record sheet - nothing is typed here.</t>
        </is>
      </c>
    </row>
    <row r="4">
      <c r="A4" s="18" t="inlineStr">
        <is>
          <t>At a glance</t>
        </is>
      </c>
      <c r="B4" s="19" t="n"/>
    </row>
    <row r="5">
      <c r="A5" s="20" t="inlineStr">
        <is>
          <t>Total registered members</t>
        </is>
      </c>
      <c r="B5" s="21">
        <f>COUNTA('Monthly Fund Record'!A6:A45)</f>
        <v/>
      </c>
    </row>
    <row r="6">
      <c r="A6" s="20" t="inlineStr">
        <is>
          <t>Total monthly fund collected</t>
        </is>
      </c>
      <c r="B6" s="13">
        <f>SUM('Monthly Fund Record'!N6:N45)</f>
        <v/>
      </c>
    </row>
    <row r="7">
      <c r="A7" s="20" t="inlineStr">
        <is>
          <t>Expected fund (members x 12 x default)</t>
        </is>
      </c>
      <c r="B7" s="13">
        <f>COUNTA('Monthly Fund Record'!A6:A45)*12*'Monthly Fund Record'!$E$3</f>
        <v/>
      </c>
    </row>
    <row r="8">
      <c r="A8" s="20" t="inlineStr">
        <is>
          <t>Outstanding / unpaid fund</t>
        </is>
      </c>
      <c r="B8" s="13">
        <f>B7-B6</f>
        <v/>
      </c>
    </row>
    <row r="9">
      <c r="A9" s="20" t="inlineStr">
        <is>
          <t>Members who paid something</t>
        </is>
      </c>
      <c r="B9" s="21">
        <f>COUNTIF('Monthly Fund Record'!N6:N45,"&gt;0")</f>
        <v/>
      </c>
    </row>
    <row r="10">
      <c r="A10" s="20" t="inlineStr">
        <is>
          <t>Members who paid nothing</t>
        </is>
      </c>
      <c r="B10" s="21">
        <f>B5-B9</f>
        <v/>
      </c>
    </row>
    <row r="12">
      <c r="A12" s="18" t="inlineStr">
        <is>
          <t>Month by month</t>
        </is>
      </c>
      <c r="B12" s="19" t="n"/>
    </row>
    <row r="13">
      <c r="A13" s="6" t="inlineStr">
        <is>
          <t>Month</t>
        </is>
      </c>
      <c r="B13" s="6" t="inlineStr">
        <is>
          <t>Collected (NPR)</t>
        </is>
      </c>
    </row>
    <row r="14">
      <c r="A14" s="20" t="inlineStr">
        <is>
          <t>Baisakh</t>
        </is>
      </c>
      <c r="B14" s="22">
        <f>SUM('Monthly Fund Record'!B6:B45)</f>
        <v/>
      </c>
    </row>
    <row r="15">
      <c r="A15" s="20" t="inlineStr">
        <is>
          <t>Jestha</t>
        </is>
      </c>
      <c r="B15" s="22">
        <f>SUM('Monthly Fund Record'!C6:C45)</f>
        <v/>
      </c>
    </row>
    <row r="16">
      <c r="A16" s="20" t="inlineStr">
        <is>
          <t>Ashadh</t>
        </is>
      </c>
      <c r="B16" s="22">
        <f>SUM('Monthly Fund Record'!D6:D45)</f>
        <v/>
      </c>
    </row>
    <row r="17">
      <c r="A17" s="20" t="inlineStr">
        <is>
          <t>Shrawan</t>
        </is>
      </c>
      <c r="B17" s="22">
        <f>SUM('Monthly Fund Record'!E6:E45)</f>
        <v/>
      </c>
    </row>
    <row r="18">
      <c r="A18" s="20" t="inlineStr">
        <is>
          <t>Bhadra</t>
        </is>
      </c>
      <c r="B18" s="22">
        <f>SUM('Monthly Fund Record'!F6:F45)</f>
        <v/>
      </c>
    </row>
    <row r="19">
      <c r="A19" s="20" t="inlineStr">
        <is>
          <t>Ashwin</t>
        </is>
      </c>
      <c r="B19" s="22">
        <f>SUM('Monthly Fund Record'!G6:G45)</f>
        <v/>
      </c>
    </row>
    <row r="20">
      <c r="A20" s="20" t="inlineStr">
        <is>
          <t>Kartik</t>
        </is>
      </c>
      <c r="B20" s="22">
        <f>SUM('Monthly Fund Record'!H6:H45)</f>
        <v/>
      </c>
    </row>
    <row r="21">
      <c r="A21" s="20" t="inlineStr">
        <is>
          <t>Mangsir</t>
        </is>
      </c>
      <c r="B21" s="22">
        <f>SUM('Monthly Fund Record'!I6:I45)</f>
        <v/>
      </c>
    </row>
    <row r="22">
      <c r="A22" s="20" t="inlineStr">
        <is>
          <t>Poush</t>
        </is>
      </c>
      <c r="B22" s="22">
        <f>SUM('Monthly Fund Record'!J6:J45)</f>
        <v/>
      </c>
    </row>
    <row r="23">
      <c r="A23" s="20" t="inlineStr">
        <is>
          <t>Magh</t>
        </is>
      </c>
      <c r="B23" s="22">
        <f>SUM('Monthly Fund Record'!K6:K45)</f>
        <v/>
      </c>
    </row>
    <row r="24">
      <c r="A24" s="20" t="inlineStr">
        <is>
          <t>Falgun</t>
        </is>
      </c>
      <c r="B24" s="22">
        <f>SUM('Monthly Fund Record'!L6:L45)</f>
        <v/>
      </c>
    </row>
    <row r="25">
      <c r="A25" s="20" t="inlineStr">
        <is>
          <t>Chaitra</t>
        </is>
      </c>
      <c r="B25" s="22">
        <f>SUM('Monthly Fund Record'!M6:M45)</f>
        <v/>
      </c>
    </row>
    <row r="26">
      <c r="A26" s="23" t="inlineStr">
        <is>
          <t>Yearly total</t>
        </is>
      </c>
      <c r="B26" s="24">
        <f>SUM(B14:B25)</f>
        <v/>
      </c>
    </row>
    <row r="28">
      <c r="A28" s="18" t="inlineStr">
        <is>
          <t>Member by member</t>
        </is>
      </c>
      <c r="B28" s="19" t="n"/>
    </row>
    <row r="29">
      <c r="A29" s="6" t="inlineStr">
        <is>
          <t>Member</t>
        </is>
      </c>
      <c r="B29" s="6" t="inlineStr">
        <is>
          <t>Months paid</t>
        </is>
      </c>
      <c r="C29" s="6" t="inlineStr">
        <is>
          <t>Paid (NPR)</t>
        </is>
      </c>
      <c r="D29" s="6" t="inlineStr">
        <is>
          <t>Unpaid months</t>
        </is>
      </c>
    </row>
    <row r="30">
      <c r="A30" s="7">
        <f>IF('Monthly Fund Record'!A6="","",'Monthly Fund Record'!A6)</f>
        <v/>
      </c>
      <c r="B30" s="14">
        <f>IF($A30="","",COUNT('Monthly Fund Record'!B6:M6))</f>
        <v/>
      </c>
      <c r="C30" s="9">
        <f>IF($A30="","",SUM('Monthly Fund Record'!B6:M6))</f>
        <v/>
      </c>
      <c r="D30" s="14">
        <f>IF($A30="","",12-COUNT('Monthly Fund Record'!B6:M6))</f>
        <v/>
      </c>
    </row>
    <row r="31">
      <c r="A31" s="7">
        <f>IF('Monthly Fund Record'!A7="","",'Monthly Fund Record'!A7)</f>
        <v/>
      </c>
      <c r="B31" s="14">
        <f>IF($A31="","",COUNT('Monthly Fund Record'!B7:M7))</f>
        <v/>
      </c>
      <c r="C31" s="9">
        <f>IF($A31="","",SUM('Monthly Fund Record'!B7:M7))</f>
        <v/>
      </c>
      <c r="D31" s="14">
        <f>IF($A31="","",12-COUNT('Monthly Fund Record'!B7:M7))</f>
        <v/>
      </c>
    </row>
    <row r="32">
      <c r="A32" s="7">
        <f>IF('Monthly Fund Record'!A8="","",'Monthly Fund Record'!A8)</f>
        <v/>
      </c>
      <c r="B32" s="14">
        <f>IF($A32="","",COUNT('Monthly Fund Record'!B8:M8))</f>
        <v/>
      </c>
      <c r="C32" s="9">
        <f>IF($A32="","",SUM('Monthly Fund Record'!B8:M8))</f>
        <v/>
      </c>
      <c r="D32" s="14">
        <f>IF($A32="","",12-COUNT('Monthly Fund Record'!B8:M8))</f>
        <v/>
      </c>
    </row>
    <row r="33">
      <c r="A33" s="7">
        <f>IF('Monthly Fund Record'!A9="","",'Monthly Fund Record'!A9)</f>
        <v/>
      </c>
      <c r="B33" s="14">
        <f>IF($A33="","",COUNT('Monthly Fund Record'!B9:M9))</f>
        <v/>
      </c>
      <c r="C33" s="9">
        <f>IF($A33="","",SUM('Monthly Fund Record'!B9:M9))</f>
        <v/>
      </c>
      <c r="D33" s="14">
        <f>IF($A33="","",12-COUNT('Monthly Fund Record'!B9:M9))</f>
        <v/>
      </c>
    </row>
    <row r="34">
      <c r="A34" s="7">
        <f>IF('Monthly Fund Record'!A10="","",'Monthly Fund Record'!A10)</f>
        <v/>
      </c>
      <c r="B34" s="14">
        <f>IF($A34="","",COUNT('Monthly Fund Record'!B10:M10))</f>
        <v/>
      </c>
      <c r="C34" s="9">
        <f>IF($A34="","",SUM('Monthly Fund Record'!B10:M10))</f>
        <v/>
      </c>
      <c r="D34" s="14">
        <f>IF($A34="","",12-COUNT('Monthly Fund Record'!B10:M10))</f>
        <v/>
      </c>
    </row>
    <row r="35">
      <c r="A35" s="7">
        <f>IF('Monthly Fund Record'!A11="","",'Monthly Fund Record'!A11)</f>
        <v/>
      </c>
      <c r="B35" s="14">
        <f>IF($A35="","",COUNT('Monthly Fund Record'!B11:M11))</f>
        <v/>
      </c>
      <c r="C35" s="9">
        <f>IF($A35="","",SUM('Monthly Fund Record'!B11:M11))</f>
        <v/>
      </c>
      <c r="D35" s="14">
        <f>IF($A35="","",12-COUNT('Monthly Fund Record'!B11:M11))</f>
        <v/>
      </c>
    </row>
    <row r="36">
      <c r="A36" s="7">
        <f>IF('Monthly Fund Record'!A12="","",'Monthly Fund Record'!A12)</f>
        <v/>
      </c>
      <c r="B36" s="14">
        <f>IF($A36="","",COUNT('Monthly Fund Record'!B12:M12))</f>
        <v/>
      </c>
      <c r="C36" s="9">
        <f>IF($A36="","",SUM('Monthly Fund Record'!B12:M12))</f>
        <v/>
      </c>
      <c r="D36" s="14">
        <f>IF($A36="","",12-COUNT('Monthly Fund Record'!B12:M12))</f>
        <v/>
      </c>
    </row>
    <row r="37">
      <c r="A37" s="7">
        <f>IF('Monthly Fund Record'!A13="","",'Monthly Fund Record'!A13)</f>
        <v/>
      </c>
      <c r="B37" s="14">
        <f>IF($A37="","",COUNT('Monthly Fund Record'!B13:M13))</f>
        <v/>
      </c>
      <c r="C37" s="9">
        <f>IF($A37="","",SUM('Monthly Fund Record'!B13:M13))</f>
        <v/>
      </c>
      <c r="D37" s="14">
        <f>IF($A37="","",12-COUNT('Monthly Fund Record'!B13:M13))</f>
        <v/>
      </c>
    </row>
    <row r="38">
      <c r="A38" s="7">
        <f>IF('Monthly Fund Record'!A14="","",'Monthly Fund Record'!A14)</f>
        <v/>
      </c>
      <c r="B38" s="14">
        <f>IF($A38="","",COUNT('Monthly Fund Record'!B14:M14))</f>
        <v/>
      </c>
      <c r="C38" s="9">
        <f>IF($A38="","",SUM('Monthly Fund Record'!B14:M14))</f>
        <v/>
      </c>
      <c r="D38" s="14">
        <f>IF($A38="","",12-COUNT('Monthly Fund Record'!B14:M14))</f>
        <v/>
      </c>
    </row>
    <row r="39">
      <c r="A39" s="7">
        <f>IF('Monthly Fund Record'!A15="","",'Monthly Fund Record'!A15)</f>
        <v/>
      </c>
      <c r="B39" s="14">
        <f>IF($A39="","",COUNT('Monthly Fund Record'!B15:M15))</f>
        <v/>
      </c>
      <c r="C39" s="9">
        <f>IF($A39="","",SUM('Monthly Fund Record'!B15:M15))</f>
        <v/>
      </c>
      <c r="D39" s="14">
        <f>IF($A39="","",12-COUNT('Monthly Fund Record'!B15:M15))</f>
        <v/>
      </c>
    </row>
    <row r="40">
      <c r="A40" s="7">
        <f>IF('Monthly Fund Record'!A16="","",'Monthly Fund Record'!A16)</f>
        <v/>
      </c>
      <c r="B40" s="14">
        <f>IF($A40="","",COUNT('Monthly Fund Record'!B16:M16))</f>
        <v/>
      </c>
      <c r="C40" s="9">
        <f>IF($A40="","",SUM('Monthly Fund Record'!B16:M16))</f>
        <v/>
      </c>
      <c r="D40" s="14">
        <f>IF($A40="","",12-COUNT('Monthly Fund Record'!B16:M16))</f>
        <v/>
      </c>
    </row>
    <row r="41">
      <c r="A41" s="7">
        <f>IF('Monthly Fund Record'!A17="","",'Monthly Fund Record'!A17)</f>
        <v/>
      </c>
      <c r="B41" s="14">
        <f>IF($A41="","",COUNT('Monthly Fund Record'!B17:M17))</f>
        <v/>
      </c>
      <c r="C41" s="9">
        <f>IF($A41="","",SUM('Monthly Fund Record'!B17:M17))</f>
        <v/>
      </c>
      <c r="D41" s="14">
        <f>IF($A41="","",12-COUNT('Monthly Fund Record'!B17:M17))</f>
        <v/>
      </c>
    </row>
    <row r="42">
      <c r="A42" s="7">
        <f>IF('Monthly Fund Record'!A18="","",'Monthly Fund Record'!A18)</f>
        <v/>
      </c>
      <c r="B42" s="14">
        <f>IF($A42="","",COUNT('Monthly Fund Record'!B18:M18))</f>
        <v/>
      </c>
      <c r="C42" s="9">
        <f>IF($A42="","",SUM('Monthly Fund Record'!B18:M18))</f>
        <v/>
      </c>
      <c r="D42" s="14">
        <f>IF($A42="","",12-COUNT('Monthly Fund Record'!B18:M18))</f>
        <v/>
      </c>
    </row>
    <row r="43">
      <c r="A43" s="7">
        <f>IF('Monthly Fund Record'!A19="","",'Monthly Fund Record'!A19)</f>
        <v/>
      </c>
      <c r="B43" s="14">
        <f>IF($A43="","",COUNT('Monthly Fund Record'!B19:M19))</f>
        <v/>
      </c>
      <c r="C43" s="9">
        <f>IF($A43="","",SUM('Monthly Fund Record'!B19:M19))</f>
        <v/>
      </c>
      <c r="D43" s="14">
        <f>IF($A43="","",12-COUNT('Monthly Fund Record'!B19:M19))</f>
        <v/>
      </c>
    </row>
    <row r="44">
      <c r="A44" s="7">
        <f>IF('Monthly Fund Record'!A20="","",'Monthly Fund Record'!A20)</f>
        <v/>
      </c>
      <c r="B44" s="14">
        <f>IF($A44="","",COUNT('Monthly Fund Record'!B20:M20))</f>
        <v/>
      </c>
      <c r="C44" s="9">
        <f>IF($A44="","",SUM('Monthly Fund Record'!B20:M20))</f>
        <v/>
      </c>
      <c r="D44" s="14">
        <f>IF($A44="","",12-COUNT('Monthly Fund Record'!B20:M20))</f>
        <v/>
      </c>
    </row>
    <row r="45">
      <c r="A45" s="7">
        <f>IF('Monthly Fund Record'!A21="","",'Monthly Fund Record'!A21)</f>
        <v/>
      </c>
      <c r="B45" s="14">
        <f>IF($A45="","",COUNT('Monthly Fund Record'!B21:M21))</f>
        <v/>
      </c>
      <c r="C45" s="9">
        <f>IF($A45="","",SUM('Monthly Fund Record'!B21:M21))</f>
        <v/>
      </c>
      <c r="D45" s="14">
        <f>IF($A45="","",12-COUNT('Monthly Fund Record'!B21:M21))</f>
        <v/>
      </c>
    </row>
    <row r="46">
      <c r="A46" s="7">
        <f>IF('Monthly Fund Record'!A22="","",'Monthly Fund Record'!A22)</f>
        <v/>
      </c>
      <c r="B46" s="14">
        <f>IF($A46="","",COUNT('Monthly Fund Record'!B22:M22))</f>
        <v/>
      </c>
      <c r="C46" s="9">
        <f>IF($A46="","",SUM('Monthly Fund Record'!B22:M22))</f>
        <v/>
      </c>
      <c r="D46" s="14">
        <f>IF($A46="","",12-COUNT('Monthly Fund Record'!B22:M22))</f>
        <v/>
      </c>
    </row>
    <row r="47">
      <c r="A47" s="7">
        <f>IF('Monthly Fund Record'!A23="","",'Monthly Fund Record'!A23)</f>
        <v/>
      </c>
      <c r="B47" s="14">
        <f>IF($A47="","",COUNT('Monthly Fund Record'!B23:M23))</f>
        <v/>
      </c>
      <c r="C47" s="9">
        <f>IF($A47="","",SUM('Monthly Fund Record'!B23:M23))</f>
        <v/>
      </c>
      <c r="D47" s="14">
        <f>IF($A47="","",12-COUNT('Monthly Fund Record'!B23:M23))</f>
        <v/>
      </c>
    </row>
    <row r="48">
      <c r="A48" s="7">
        <f>IF('Monthly Fund Record'!A24="","",'Monthly Fund Record'!A24)</f>
        <v/>
      </c>
      <c r="B48" s="14">
        <f>IF($A48="","",COUNT('Monthly Fund Record'!B24:M24))</f>
        <v/>
      </c>
      <c r="C48" s="9">
        <f>IF($A48="","",SUM('Monthly Fund Record'!B24:M24))</f>
        <v/>
      </c>
      <c r="D48" s="14">
        <f>IF($A48="","",12-COUNT('Monthly Fund Record'!B24:M24))</f>
        <v/>
      </c>
    </row>
    <row r="49">
      <c r="A49" s="7">
        <f>IF('Monthly Fund Record'!A25="","",'Monthly Fund Record'!A25)</f>
        <v/>
      </c>
      <c r="B49" s="14">
        <f>IF($A49="","",COUNT('Monthly Fund Record'!B25:M25))</f>
        <v/>
      </c>
      <c r="C49" s="9">
        <f>IF($A49="","",SUM('Monthly Fund Record'!B25:M25))</f>
        <v/>
      </c>
      <c r="D49" s="14">
        <f>IF($A49="","",12-COUNT('Monthly Fund Record'!B25:M25))</f>
        <v/>
      </c>
    </row>
    <row r="50">
      <c r="A50" s="7">
        <f>IF('Monthly Fund Record'!A26="","",'Monthly Fund Record'!A26)</f>
        <v/>
      </c>
      <c r="B50" s="14">
        <f>IF($A50="","",COUNT('Monthly Fund Record'!B26:M26))</f>
        <v/>
      </c>
      <c r="C50" s="9">
        <f>IF($A50="","",SUM('Monthly Fund Record'!B26:M26))</f>
        <v/>
      </c>
      <c r="D50" s="14">
        <f>IF($A50="","",12-COUNT('Monthly Fund Record'!B26:M26))</f>
        <v/>
      </c>
    </row>
    <row r="51">
      <c r="A51" s="7">
        <f>IF('Monthly Fund Record'!A27="","",'Monthly Fund Record'!A27)</f>
        <v/>
      </c>
      <c r="B51" s="14">
        <f>IF($A51="","",COUNT('Monthly Fund Record'!B27:M27))</f>
        <v/>
      </c>
      <c r="C51" s="9">
        <f>IF($A51="","",SUM('Monthly Fund Record'!B27:M27))</f>
        <v/>
      </c>
      <c r="D51" s="14">
        <f>IF($A51="","",12-COUNT('Monthly Fund Record'!B27:M27))</f>
        <v/>
      </c>
    </row>
    <row r="52">
      <c r="A52" s="7">
        <f>IF('Monthly Fund Record'!A28="","",'Monthly Fund Record'!A28)</f>
        <v/>
      </c>
      <c r="B52" s="14">
        <f>IF($A52="","",COUNT('Monthly Fund Record'!B28:M28))</f>
        <v/>
      </c>
      <c r="C52" s="9">
        <f>IF($A52="","",SUM('Monthly Fund Record'!B28:M28))</f>
        <v/>
      </c>
      <c r="D52" s="14">
        <f>IF($A52="","",12-COUNT('Monthly Fund Record'!B28:M28))</f>
        <v/>
      </c>
    </row>
    <row r="53">
      <c r="A53" s="7">
        <f>IF('Monthly Fund Record'!A29="","",'Monthly Fund Record'!A29)</f>
        <v/>
      </c>
      <c r="B53" s="14">
        <f>IF($A53="","",COUNT('Monthly Fund Record'!B29:M29))</f>
        <v/>
      </c>
      <c r="C53" s="9">
        <f>IF($A53="","",SUM('Monthly Fund Record'!B29:M29))</f>
        <v/>
      </c>
      <c r="D53" s="14">
        <f>IF($A53="","",12-COUNT('Monthly Fund Record'!B29:M29))</f>
        <v/>
      </c>
    </row>
    <row r="54">
      <c r="A54" s="7">
        <f>IF('Monthly Fund Record'!A30="","",'Monthly Fund Record'!A30)</f>
        <v/>
      </c>
      <c r="B54" s="14">
        <f>IF($A54="","",COUNT('Monthly Fund Record'!B30:M30))</f>
        <v/>
      </c>
      <c r="C54" s="9">
        <f>IF($A54="","",SUM('Monthly Fund Record'!B30:M30))</f>
        <v/>
      </c>
      <c r="D54" s="14">
        <f>IF($A54="","",12-COUNT('Monthly Fund Record'!B30:M30))</f>
        <v/>
      </c>
    </row>
    <row r="55">
      <c r="A55" s="7">
        <f>IF('Monthly Fund Record'!A31="","",'Monthly Fund Record'!A31)</f>
        <v/>
      </c>
      <c r="B55" s="14">
        <f>IF($A55="","",COUNT('Monthly Fund Record'!B31:M31))</f>
        <v/>
      </c>
      <c r="C55" s="9">
        <f>IF($A55="","",SUM('Monthly Fund Record'!B31:M31))</f>
        <v/>
      </c>
      <c r="D55" s="14">
        <f>IF($A55="","",12-COUNT('Monthly Fund Record'!B31:M31))</f>
        <v/>
      </c>
    </row>
    <row r="56">
      <c r="A56" s="7">
        <f>IF('Monthly Fund Record'!A32="","",'Monthly Fund Record'!A32)</f>
        <v/>
      </c>
      <c r="B56" s="14">
        <f>IF($A56="","",COUNT('Monthly Fund Record'!B32:M32))</f>
        <v/>
      </c>
      <c r="C56" s="9">
        <f>IF($A56="","",SUM('Monthly Fund Record'!B32:M32))</f>
        <v/>
      </c>
      <c r="D56" s="14">
        <f>IF($A56="","",12-COUNT('Monthly Fund Record'!B32:M32))</f>
        <v/>
      </c>
    </row>
    <row r="57">
      <c r="A57" s="7">
        <f>IF('Monthly Fund Record'!A33="","",'Monthly Fund Record'!A33)</f>
        <v/>
      </c>
      <c r="B57" s="14">
        <f>IF($A57="","",COUNT('Monthly Fund Record'!B33:M33))</f>
        <v/>
      </c>
      <c r="C57" s="9">
        <f>IF($A57="","",SUM('Monthly Fund Record'!B33:M33))</f>
        <v/>
      </c>
      <c r="D57" s="14">
        <f>IF($A57="","",12-COUNT('Monthly Fund Record'!B33:M33))</f>
        <v/>
      </c>
    </row>
    <row r="58">
      <c r="A58" s="7">
        <f>IF('Monthly Fund Record'!A34="","",'Monthly Fund Record'!A34)</f>
        <v/>
      </c>
      <c r="B58" s="14">
        <f>IF($A58="","",COUNT('Monthly Fund Record'!B34:M34))</f>
        <v/>
      </c>
      <c r="C58" s="9">
        <f>IF($A58="","",SUM('Monthly Fund Record'!B34:M34))</f>
        <v/>
      </c>
      <c r="D58" s="14">
        <f>IF($A58="","",12-COUNT('Monthly Fund Record'!B34:M34))</f>
        <v/>
      </c>
    </row>
    <row r="59">
      <c r="A59" s="7">
        <f>IF('Monthly Fund Record'!A35="","",'Monthly Fund Record'!A35)</f>
        <v/>
      </c>
      <c r="B59" s="14">
        <f>IF($A59="","",COUNT('Monthly Fund Record'!B35:M35))</f>
        <v/>
      </c>
      <c r="C59" s="9">
        <f>IF($A59="","",SUM('Monthly Fund Record'!B35:M35))</f>
        <v/>
      </c>
      <c r="D59" s="14">
        <f>IF($A59="","",12-COUNT('Monthly Fund Record'!B35:M35))</f>
        <v/>
      </c>
    </row>
    <row r="60">
      <c r="A60" s="7">
        <f>IF('Monthly Fund Record'!A36="","",'Monthly Fund Record'!A36)</f>
        <v/>
      </c>
      <c r="B60" s="14">
        <f>IF($A60="","",COUNT('Monthly Fund Record'!B36:M36))</f>
        <v/>
      </c>
      <c r="C60" s="9">
        <f>IF($A60="","",SUM('Monthly Fund Record'!B36:M36))</f>
        <v/>
      </c>
      <c r="D60" s="14">
        <f>IF($A60="","",12-COUNT('Monthly Fund Record'!B36:M36))</f>
        <v/>
      </c>
    </row>
    <row r="61">
      <c r="A61" s="7">
        <f>IF('Monthly Fund Record'!A37="","",'Monthly Fund Record'!A37)</f>
        <v/>
      </c>
      <c r="B61" s="14">
        <f>IF($A61="","",COUNT('Monthly Fund Record'!B37:M37))</f>
        <v/>
      </c>
      <c r="C61" s="9">
        <f>IF($A61="","",SUM('Monthly Fund Record'!B37:M37))</f>
        <v/>
      </c>
      <c r="D61" s="14">
        <f>IF($A61="","",12-COUNT('Monthly Fund Record'!B37:M37))</f>
        <v/>
      </c>
    </row>
    <row r="62">
      <c r="A62" s="7">
        <f>IF('Monthly Fund Record'!A38="","",'Monthly Fund Record'!A38)</f>
        <v/>
      </c>
      <c r="B62" s="14">
        <f>IF($A62="","",COUNT('Monthly Fund Record'!B38:M38))</f>
        <v/>
      </c>
      <c r="C62" s="9">
        <f>IF($A62="","",SUM('Monthly Fund Record'!B38:M38))</f>
        <v/>
      </c>
      <c r="D62" s="14">
        <f>IF($A62="","",12-COUNT('Monthly Fund Record'!B38:M38))</f>
        <v/>
      </c>
    </row>
    <row r="63">
      <c r="A63" s="7">
        <f>IF('Monthly Fund Record'!A39="","",'Monthly Fund Record'!A39)</f>
        <v/>
      </c>
      <c r="B63" s="14">
        <f>IF($A63="","",COUNT('Monthly Fund Record'!B39:M39))</f>
        <v/>
      </c>
      <c r="C63" s="9">
        <f>IF($A63="","",SUM('Monthly Fund Record'!B39:M39))</f>
        <v/>
      </c>
      <c r="D63" s="14">
        <f>IF($A63="","",12-COUNT('Monthly Fund Record'!B39:M39))</f>
        <v/>
      </c>
    </row>
    <row r="64">
      <c r="A64" s="7">
        <f>IF('Monthly Fund Record'!A40="","",'Monthly Fund Record'!A40)</f>
        <v/>
      </c>
      <c r="B64" s="14">
        <f>IF($A64="","",COUNT('Monthly Fund Record'!B40:M40))</f>
        <v/>
      </c>
      <c r="C64" s="9">
        <f>IF($A64="","",SUM('Monthly Fund Record'!B40:M40))</f>
        <v/>
      </c>
      <c r="D64" s="14">
        <f>IF($A64="","",12-COUNT('Monthly Fund Record'!B40:M40))</f>
        <v/>
      </c>
    </row>
    <row r="65">
      <c r="A65" s="7">
        <f>IF('Monthly Fund Record'!A41="","",'Monthly Fund Record'!A41)</f>
        <v/>
      </c>
      <c r="B65" s="14">
        <f>IF($A65="","",COUNT('Monthly Fund Record'!B41:M41))</f>
        <v/>
      </c>
      <c r="C65" s="9">
        <f>IF($A65="","",SUM('Monthly Fund Record'!B41:M41))</f>
        <v/>
      </c>
      <c r="D65" s="14">
        <f>IF($A65="","",12-COUNT('Monthly Fund Record'!B41:M41))</f>
        <v/>
      </c>
    </row>
    <row r="66">
      <c r="A66" s="7">
        <f>IF('Monthly Fund Record'!A42="","",'Monthly Fund Record'!A42)</f>
        <v/>
      </c>
      <c r="B66" s="14">
        <f>IF($A66="","",COUNT('Monthly Fund Record'!B42:M42))</f>
        <v/>
      </c>
      <c r="C66" s="9">
        <f>IF($A66="","",SUM('Monthly Fund Record'!B42:M42))</f>
        <v/>
      </c>
      <c r="D66" s="14">
        <f>IF($A66="","",12-COUNT('Monthly Fund Record'!B42:M42))</f>
        <v/>
      </c>
    </row>
    <row r="67">
      <c r="A67" s="7">
        <f>IF('Monthly Fund Record'!A43="","",'Monthly Fund Record'!A43)</f>
        <v/>
      </c>
      <c r="B67" s="14">
        <f>IF($A67="","",COUNT('Monthly Fund Record'!B43:M43))</f>
        <v/>
      </c>
      <c r="C67" s="9">
        <f>IF($A67="","",SUM('Monthly Fund Record'!B43:M43))</f>
        <v/>
      </c>
      <c r="D67" s="14">
        <f>IF($A67="","",12-COUNT('Monthly Fund Record'!B43:M43))</f>
        <v/>
      </c>
    </row>
    <row r="68">
      <c r="A68" s="7">
        <f>IF('Monthly Fund Record'!A44="","",'Monthly Fund Record'!A44)</f>
        <v/>
      </c>
      <c r="B68" s="14">
        <f>IF($A68="","",COUNT('Monthly Fund Record'!B44:M44))</f>
        <v/>
      </c>
      <c r="C68" s="9">
        <f>IF($A68="","",SUM('Monthly Fund Record'!B44:M44))</f>
        <v/>
      </c>
      <c r="D68" s="14">
        <f>IF($A68="","",12-COUNT('Monthly Fund Record'!B44:M44))</f>
        <v/>
      </c>
    </row>
    <row r="69">
      <c r="A69" s="7">
        <f>IF('Monthly Fund Record'!A45="","",'Monthly Fund Record'!A45)</f>
        <v/>
      </c>
      <c r="B69" s="14">
        <f>IF($A69="","",COUNT('Monthly Fund Record'!B45:M45))</f>
        <v/>
      </c>
      <c r="C69" s="9">
        <f>IF($A69="","",SUM('Monthly Fund Record'!B45:M45))</f>
        <v/>
      </c>
      <c r="D69" s="14">
        <f>IF($A69="","",12-COUNT('Monthly Fund Record'!B45:M45))</f>
        <v/>
      </c>
    </row>
  </sheetData>
  <mergeCells count="6">
    <mergeCell ref="A4:B4"/>
    <mergeCell ref="A2:F2"/>
    <mergeCell ref="A1:F1"/>
    <mergeCell ref="A29"/>
    <mergeCell ref="A28:B28"/>
    <mergeCell ref="A12:B1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Donation Summary</t>
        </is>
      </c>
    </row>
    <row r="2">
      <c r="A2" s="2" t="inlineStr">
        <is>
          <t>Only Approved donations are counted as confirmed money received.</t>
        </is>
      </c>
    </row>
    <row r="4">
      <c r="A4" s="18" t="inlineStr">
        <is>
          <t>Totals</t>
        </is>
      </c>
      <c r="B4" s="19" t="n"/>
    </row>
    <row r="5">
      <c r="A5" s="20" t="inlineStr">
        <is>
          <t>Total donations recorded</t>
        </is>
      </c>
      <c r="B5" s="13">
        <f>SUM('Donation Record'!I5:I64)</f>
        <v/>
      </c>
    </row>
    <row r="6">
      <c r="A6" s="20" t="inlineStr">
        <is>
          <t>Approved (confirmed)</t>
        </is>
      </c>
      <c r="B6" s="13">
        <f>SUMIF('Donation Record'!J5:J64,"Approved",'Donation Record'!I5:I64)</f>
        <v/>
      </c>
    </row>
    <row r="7">
      <c r="A7" s="20" t="inlineStr">
        <is>
          <t>Pending</t>
        </is>
      </c>
      <c r="B7" s="13">
        <f>SUMIF('Donation Record'!J5:J64,"Pending",'Donation Record'!I5:I64)</f>
        <v/>
      </c>
    </row>
    <row r="8">
      <c r="A8" s="20" t="inlineStr">
        <is>
          <t>Rejected</t>
        </is>
      </c>
      <c r="B8" s="13">
        <f>SUMIF('Donation Record'!J5:J64,"Rejected",'Donation Record'!I5:I64)</f>
        <v/>
      </c>
    </row>
    <row r="9">
      <c r="A9" s="20" t="inlineStr">
        <is>
          <t>Number of donations</t>
        </is>
      </c>
      <c r="B9" s="21">
        <f>COUNTA('Donation Record'!D5:D64)</f>
        <v/>
      </c>
    </row>
    <row r="11">
      <c r="A11" s="18" t="inlineStr">
        <is>
          <t>Month by month (approved only)</t>
        </is>
      </c>
      <c r="B11" s="19" t="n"/>
    </row>
    <row r="12">
      <c r="A12" s="6" t="inlineStr">
        <is>
          <t>Month</t>
        </is>
      </c>
      <c r="B12" s="6" t="inlineStr">
        <is>
          <t>Approved (NPR)</t>
        </is>
      </c>
    </row>
    <row r="13">
      <c r="A13" s="25" t="inlineStr">
        <is>
          <t>Baisakh</t>
        </is>
      </c>
      <c r="B13" s="22">
        <f>SUMPRODUCT((MONTH('Donation Record'!$C$5:$C$64)=1)*('Donation Record'!$J$5:$J$64="Approved")*('Donation Record'!$I$5:$I$64))</f>
        <v/>
      </c>
    </row>
    <row r="14">
      <c r="A14" s="25" t="inlineStr">
        <is>
          <t>Jestha</t>
        </is>
      </c>
      <c r="B14" s="22">
        <f>SUMPRODUCT((MONTH('Donation Record'!$C$5:$C$64)=2)*('Donation Record'!$J$5:$J$64="Approved")*('Donation Record'!$I$5:$I$64))</f>
        <v/>
      </c>
    </row>
    <row r="15">
      <c r="A15" s="25" t="inlineStr">
        <is>
          <t>Ashadh</t>
        </is>
      </c>
      <c r="B15" s="22">
        <f>SUMPRODUCT((MONTH('Donation Record'!$C$5:$C$64)=3)*('Donation Record'!$J$5:$J$64="Approved")*('Donation Record'!$I$5:$I$64))</f>
        <v/>
      </c>
    </row>
    <row r="16">
      <c r="A16" s="25" t="inlineStr">
        <is>
          <t>Shrawan</t>
        </is>
      </c>
      <c r="B16" s="22">
        <f>SUMPRODUCT((MONTH('Donation Record'!$C$5:$C$64)=4)*('Donation Record'!$J$5:$J$64="Approved")*('Donation Record'!$I$5:$I$64))</f>
        <v/>
      </c>
    </row>
    <row r="17">
      <c r="A17" s="25" t="inlineStr">
        <is>
          <t>Bhadra</t>
        </is>
      </c>
      <c r="B17" s="22">
        <f>SUMPRODUCT((MONTH('Donation Record'!$C$5:$C$64)=5)*('Donation Record'!$J$5:$J$64="Approved")*('Donation Record'!$I$5:$I$64))</f>
        <v/>
      </c>
    </row>
    <row r="18">
      <c r="A18" s="25" t="inlineStr">
        <is>
          <t>Ashwin</t>
        </is>
      </c>
      <c r="B18" s="22">
        <f>SUMPRODUCT((MONTH('Donation Record'!$C$5:$C$64)=6)*('Donation Record'!$J$5:$J$64="Approved")*('Donation Record'!$I$5:$I$64))</f>
        <v/>
      </c>
    </row>
    <row r="19">
      <c r="A19" s="25" t="inlineStr">
        <is>
          <t>Kartik</t>
        </is>
      </c>
      <c r="B19" s="22">
        <f>SUMPRODUCT((MONTH('Donation Record'!$C$5:$C$64)=7)*('Donation Record'!$J$5:$J$64="Approved")*('Donation Record'!$I$5:$I$64))</f>
        <v/>
      </c>
    </row>
    <row r="20">
      <c r="A20" s="25" t="inlineStr">
        <is>
          <t>Mangsir</t>
        </is>
      </c>
      <c r="B20" s="22">
        <f>SUMPRODUCT((MONTH('Donation Record'!$C$5:$C$64)=8)*('Donation Record'!$J$5:$J$64="Approved")*('Donation Record'!$I$5:$I$64))</f>
        <v/>
      </c>
    </row>
    <row r="21">
      <c r="A21" s="25" t="inlineStr">
        <is>
          <t>Poush</t>
        </is>
      </c>
      <c r="B21" s="22">
        <f>SUMPRODUCT((MONTH('Donation Record'!$C$5:$C$64)=9)*('Donation Record'!$J$5:$J$64="Approved")*('Donation Record'!$I$5:$I$64))</f>
        <v/>
      </c>
    </row>
    <row r="22">
      <c r="A22" s="25" t="inlineStr">
        <is>
          <t>Magh</t>
        </is>
      </c>
      <c r="B22" s="22">
        <f>SUMPRODUCT((MONTH('Donation Record'!$C$5:$C$64)=10)*('Donation Record'!$J$5:$J$64="Approved")*('Donation Record'!$I$5:$I$64))</f>
        <v/>
      </c>
    </row>
    <row r="23">
      <c r="A23" s="25" t="inlineStr">
        <is>
          <t>Falgun</t>
        </is>
      </c>
      <c r="B23" s="22">
        <f>SUMPRODUCT((MONTH('Donation Record'!$C$5:$C$64)=11)*('Donation Record'!$J$5:$J$64="Approved")*('Donation Record'!$I$5:$I$64))</f>
        <v/>
      </c>
    </row>
    <row r="24">
      <c r="A24" s="25" t="inlineStr">
        <is>
          <t>Chaitra</t>
        </is>
      </c>
      <c r="B24" s="22">
        <f>SUMPRODUCT((MONTH('Donation Record'!$C$5:$C$64)=12)*('Donation Record'!$J$5:$J$64="Approved")*('Donation Record'!$I$5:$I$64))</f>
        <v/>
      </c>
    </row>
    <row r="26">
      <c r="A26" s="18" t="inlineStr">
        <is>
          <t>By purpose (approved only)</t>
        </is>
      </c>
      <c r="B26" s="19" t="n"/>
    </row>
    <row r="27">
      <c r="A27" s="6" t="inlineStr">
        <is>
          <t>Purpose</t>
        </is>
      </c>
      <c r="B27" s="6" t="inlineStr">
        <is>
          <t>Approved (NPR)</t>
        </is>
      </c>
    </row>
    <row r="28">
      <c r="A28" s="25" t="inlineStr">
        <is>
          <t>General</t>
        </is>
      </c>
      <c r="B28" s="22">
        <f>SUMIFS('Donation Record'!$I$5:$I$64,'Donation Record'!$G$5:$G$64,$A28,'Donation Record'!$J$5:$J$64,"Approved")</f>
        <v/>
      </c>
    </row>
    <row r="29">
      <c r="A29" s="25" t="inlineStr">
        <is>
          <t>Education</t>
        </is>
      </c>
      <c r="B29" s="22">
        <f>SUMIFS('Donation Record'!$I$5:$I$64,'Donation Record'!$G$5:$G$64,$A29,'Donation Record'!$J$5:$J$64,"Approved")</f>
        <v/>
      </c>
    </row>
    <row r="30">
      <c r="A30" s="25" t="inlineStr">
        <is>
          <t>Health</t>
        </is>
      </c>
      <c r="B30" s="22">
        <f>SUMIFS('Donation Record'!$I$5:$I$64,'Donation Record'!$G$5:$G$64,$A30,'Donation Record'!$J$5:$J$64,"Approved")</f>
        <v/>
      </c>
    </row>
    <row r="31">
      <c r="A31" s="25" t="inlineStr">
        <is>
          <t>Sports</t>
        </is>
      </c>
      <c r="B31" s="22">
        <f>SUMIFS('Donation Record'!$I$5:$I$64,'Donation Record'!$G$5:$G$64,$A31,'Donation Record'!$J$5:$J$64,"Approved")</f>
        <v/>
      </c>
    </row>
    <row r="32">
      <c r="A32" s="25" t="inlineStr">
        <is>
          <t>Disaster relief</t>
        </is>
      </c>
      <c r="B32" s="22">
        <f>SUMIFS('Donation Record'!$I$5:$I$64,'Donation Record'!$G$5:$G$64,$A32,'Donation Record'!$J$5:$J$64,"Approved")</f>
        <v/>
      </c>
    </row>
    <row r="33">
      <c r="A33" s="25" t="inlineStr">
        <is>
          <t>Infrastructure</t>
        </is>
      </c>
      <c r="B33" s="22">
        <f>SUMIFS('Donation Record'!$I$5:$I$64,'Donation Record'!$G$5:$G$64,$A33,'Donation Record'!$J$5:$J$64,"Approved")</f>
        <v/>
      </c>
    </row>
    <row r="34">
      <c r="A34" s="25" t="inlineStr">
        <is>
          <t>Environment</t>
        </is>
      </c>
      <c r="B34" s="22">
        <f>SUMIFS('Donation Record'!$I$5:$I$64,'Donation Record'!$G$5:$G$64,$A34,'Donation Record'!$J$5:$J$64,"Approved")</f>
        <v/>
      </c>
    </row>
    <row r="35">
      <c r="A35" s="25" t="inlineStr">
        <is>
          <t>Other</t>
        </is>
      </c>
      <c r="B35" s="22">
        <f>SUMIFS('Donation Record'!$I$5:$I$64,'Donation Record'!$G$5:$G$64,$A35,'Donation Record'!$J$5:$J$64,"Approved")</f>
        <v/>
      </c>
    </row>
    <row r="37">
      <c r="A37" s="18" t="inlineStr">
        <is>
          <t>By donor (approved only) - type a donor name in column A</t>
        </is>
      </c>
      <c r="B37" s="19" t="n"/>
    </row>
    <row r="38">
      <c r="A38" s="6" t="inlineStr">
        <is>
          <t>Donor</t>
        </is>
      </c>
      <c r="B38" s="6" t="inlineStr">
        <is>
          <t>Approved (NPR)</t>
        </is>
      </c>
    </row>
    <row r="39">
      <c r="A39" s="26" t="n"/>
      <c r="B39" s="22">
        <f>IF($A39="","",SUMIFS('Donation Record'!$I$5:$I$64,'Donation Record'!$D$5:$D$64,$A39,'Donation Record'!$J$5:$J$64,"Approved"))</f>
        <v/>
      </c>
    </row>
    <row r="40">
      <c r="A40" s="26" t="n"/>
      <c r="B40" s="22">
        <f>IF($A40="","",SUMIFS('Donation Record'!$I$5:$I$64,'Donation Record'!$D$5:$D$64,$A40,'Donation Record'!$J$5:$J$64,"Approved"))</f>
        <v/>
      </c>
    </row>
    <row r="41">
      <c r="A41" s="26" t="n"/>
      <c r="B41" s="22">
        <f>IF($A41="","",SUMIFS('Donation Record'!$I$5:$I$64,'Donation Record'!$D$5:$D$64,$A41,'Donation Record'!$J$5:$J$64,"Approved"))</f>
        <v/>
      </c>
    </row>
    <row r="42">
      <c r="A42" s="26" t="n"/>
      <c r="B42" s="22">
        <f>IF($A42="","",SUMIFS('Donation Record'!$I$5:$I$64,'Donation Record'!$D$5:$D$64,$A42,'Donation Record'!$J$5:$J$64,"Approved"))</f>
        <v/>
      </c>
    </row>
    <row r="43">
      <c r="A43" s="26" t="n"/>
      <c r="B43" s="22">
        <f>IF($A43="","",SUMIFS('Donation Record'!$I$5:$I$64,'Donation Record'!$D$5:$D$64,$A43,'Donation Record'!$J$5:$J$64,"Approved"))</f>
        <v/>
      </c>
    </row>
    <row r="44">
      <c r="A44" s="26" t="n"/>
      <c r="B44" s="22">
        <f>IF($A44="","",SUMIFS('Donation Record'!$I$5:$I$64,'Donation Record'!$D$5:$D$64,$A44,'Donation Record'!$J$5:$J$64,"Approved"))</f>
        <v/>
      </c>
    </row>
    <row r="45">
      <c r="A45" s="26" t="n"/>
      <c r="B45" s="22">
        <f>IF($A45="","",SUMIFS('Donation Record'!$I$5:$I$64,'Donation Record'!$D$5:$D$64,$A45,'Donation Record'!$J$5:$J$64,"Approved"))</f>
        <v/>
      </c>
    </row>
    <row r="46">
      <c r="A46" s="26" t="n"/>
      <c r="B46" s="22">
        <f>IF($A46="","",SUMIFS('Donation Record'!$I$5:$I$64,'Donation Record'!$D$5:$D$64,$A46,'Donation Record'!$J$5:$J$64,"Approved"))</f>
        <v/>
      </c>
    </row>
    <row r="47">
      <c r="A47" s="26" t="n"/>
      <c r="B47" s="22">
        <f>IF($A47="","",SUMIFS('Donation Record'!$I$5:$I$64,'Donation Record'!$D$5:$D$64,$A47,'Donation Record'!$J$5:$J$64,"Approved"))</f>
        <v/>
      </c>
    </row>
    <row r="48">
      <c r="A48" s="26" t="n"/>
      <c r="B48" s="22">
        <f>IF($A48="","",SUMIFS('Donation Record'!$I$5:$I$64,'Donation Record'!$D$5:$D$64,$A48,'Donation Record'!$J$5:$J$64,"Approved"))</f>
        <v/>
      </c>
    </row>
  </sheetData>
  <mergeCells count="6">
    <mergeCell ref="A4:B4"/>
    <mergeCell ref="A1:D1"/>
    <mergeCell ref="A26:B26"/>
    <mergeCell ref="A11:B11"/>
    <mergeCell ref="A37:B37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2026-10-23T05:58:22Z</dcterms:created>
  <dcterms:modified xsi:type="dcterms:W3CDTF">2026-10-23T05:58:22Z</dcterms:modified>
</cp:coreProperties>
</file>